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xml" ContentType="application/vnd.ms-excel.rdrichvalue+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0376" yWindow="-120" windowWidth="29040" windowHeight="15840"/>
  </bookViews>
  <sheets>
    <sheet name="Décomptes" sheetId="116" r:id="rId1"/>
    <sheet name="Lexique" sheetId="112" r:id="rId2"/>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6" i="116" l="1"/>
</calcChain>
</file>

<file path=xl/connections.xml><?xml version="1.0" encoding="utf-8"?>
<connections xmlns="http://schemas.openxmlformats.org/spreadsheetml/2006/main">
  <connection id="1" name="021_DecomptesJourneesHab" type="4" refreshedVersion="0" background="1">
    <webPr xml="1" sourceData="1" url="\\SV011117\giro\hastint2018\files\oig\Editions\09 - Decomptes des services de plusieurs TM\template\021_DecomptesJourneesHab.xml" htmlTables="1" htmlFormat="all"/>
  </connection>
  <connection id="2" name="021_DecomptesJourneesHab1" type="4" refreshedVersion="0" background="1">
    <webPr xml="1" sourceData="1" url="\\SV011117\giro\hastint2018\files\oig\Editions\09 - Decomptes des services de plusieurs TM\template\021_DecomptesJourneesHab.xml" htmlTables="1" htmlFormat="all"/>
  </connection>
  <connection id="3" name="021_DecomptesJourneesHab2" type="4" refreshedVersion="0" background="1">
    <webPr xml="1" sourceData="1" url="\\SV011117\giro\hastint2018\files\oig\Editions\09 - Decomptes des services de plusieurs TM\template\021_DecomptesJourneesHab.xml" htmlTables="1" htmlFormat="all"/>
  </connection>
  <connection id="4" name="021_DecomptesJourneesHab3" type="4" refreshedVersion="0" background="1">
    <webPr xml="1" sourceData="1" url="\\SV011117\giro\hastint2018\files\oig\Editions\09 - Decomptes des services de plusieurs TM\template\021_DecomptesJourneesHab.xml" htmlTables="1" htmlFormat="all"/>
  </connection>
  <connection id="5" name="021_DecomptesJourneesHab4" type="4" refreshedVersion="0" background="1">
    <webPr xml="1" sourceData="1" url="\\SV011117\giro\hastint2018\files\oig\Editions\09 - Decomptes des services de plusieurs TM\template\021_DecomptesJourneesHab.xml" htmlTables="1" htmlFormat="all"/>
  </connection>
  <connection id="6" name="054_NYD2_DecomptesJourneesHab" type="4" refreshedVersion="0" background="1">
    <webPr xml="1" sourceData="1" url="\\SV011117\giro\hastint2018_wr\hastint2018\users\X2020801\inter\054_NYD2_DecomptesJourneesHab.xml" htmlTables="1" htmlFormat="all"/>
  </connection>
  <connection id="7" name="058LAV10_01_DecomptesJourneesHab_20250311_151259" type="4" refreshedVersion="0" background="1">
    <webPr xml="1" sourceData="1" url="\\sv020164.info.ratp\giro\hastus2018_WR\hastus2018\users\PP222326\inter\058LAV10_01_DecomptesJourneesHab_20250311_151259\058LAV10_01_DecomptesJourneesHab_20250311_151259.xml" htmlTables="1" htmlFormat="all"/>
  </connection>
  <connection id="8" name="086_PAES-2019_DecomptesJourneesHab" type="4" refreshedVersion="0" background="1">
    <webPr xml="1" sourceData="1" url="\\SV011117\giro\hastint2018_wr\hastint2018\users\X2020801\inter\086_PAES-2019_DecomptesJourneesHab.xml" htmlTables="1" htmlFormat="all"/>
  </connection>
  <connection id="9" name="086_PAES-2019_DecomptesJourneesHab1" type="4" refreshedVersion="0" background="1">
    <webPr xml="1" sourceData="1" url="\\SV011117\giro\hastint2018_wr\hastint2018\users\X2020801\inter\086_PAES-2019_DecomptesJourneesHab.xml" htmlTables="1" htmlFormat="all"/>
  </connection>
  <connection id="10" name="105_PVNS2021_DecomptesJourneesHab" type="4" refreshedVersion="0" background="1">
    <webPr xml="1" sourceData="1" url="\\SV011117\giro\hastint2018\files\oig\Editions\09 - Decomptes des services de plusieurs TM\template\105_PVNS2021_DecomptesJourneesHab.xml" htmlTables="1" htmlFormat="all"/>
  </connection>
  <connection id="11" name="113_DecomptesJourneesHab" type="4" refreshedVersion="0" background="1">
    <webPr xml="1" sourceData="1" url="\\SV011117\giro\hastint2018_wr\hastint2018_b2\users\X2024939_B2\inter\Dimanche\113_DecomptesJourneesHab.xml" htmlTables="1" htmlFormat="all"/>
  </connection>
  <connection id="12" name="116_BDMN-2019_DecomptesJourneesHab" type="4" refreshedVersion="0" background="1">
    <webPr xml="1" sourceData="1" url="\\SV011117\giro\hastint2018_wr\hastint2018\users\X2020801\inter\116_BDMN-2019_DecomptesJourneesHab.xml" htmlTables="1" htmlFormat="all"/>
  </connection>
  <connection id="13" name="116_BDMN-2019_DecomptesJourneesHab1" type="4" refreshedVersion="0" background="1">
    <webPr xml="1" sourceData="1" url="\\SV011117\giro\hastint2018_wr\hastint2018\users\X2020801\inter\116_BDMN-2019_DecomptesJourneesHab.xml" htmlTables="1" htmlFormat="all"/>
  </connection>
  <connection id="14" name="116_BDMN-2019_DecomptesJourneesHab10" type="4" refreshedVersion="0" background="1">
    <webPr xml="1" sourceData="1" url="\\SV011117\giro\hastint2018_wr\hastint2018\users\X2020801\inter\116_BDMN-2019_DecomptesJourneesHab.xml" htmlTables="1" htmlFormat="all"/>
  </connection>
  <connection id="15" name="116_BDMN-2019_DecomptesJourneesHab11" type="4" refreshedVersion="0" background="1">
    <webPr xml="1" sourceData="1" url="\\SV011117\giro\hastint2018_wr\hastint2018\users\X2020801\inter\116_BDMN-2019_DecomptesJourneesHab.xml" htmlTables="1" htmlFormat="all"/>
  </connection>
  <connection id="16" name="116_BDMN-2019_DecomptesJourneesHab12" type="4" refreshedVersion="0" background="1">
    <webPr xml="1" sourceData="1" url="\\SV011117\giro\hastint2018_wr\hastint2018\users\X2020801\inter\116_BDMN-2019_DecomptesJourneesHab.xml" htmlTables="1" htmlFormat="all"/>
  </connection>
  <connection id="17" name="116_BDMN-2019_DecomptesJourneesHab13" type="4" refreshedVersion="0" background="1">
    <webPr xml="1" sourceData="1" url="\\SV011117\giro\hastint2018_wr\hastint2018\users\X2020801\inter\116_BDMN-2019_DecomptesJourneesHab.xml" htmlTables="1" htmlFormat="all"/>
  </connection>
  <connection id="18" name="116_BDMN-2019_DecomptesJourneesHab14" type="4" refreshedVersion="0" background="1">
    <webPr xml="1" sourceData="1" url="\\SV011117\giro\hastint2018_wr\hastint2018\users\X2020801\inter\116_BDMN-2019_DecomptesJourneesHab.xml" htmlTables="1" htmlFormat="all"/>
  </connection>
  <connection id="19" name="116_BDMN-2019_DecomptesJourneesHab15" type="4" refreshedVersion="0" background="1">
    <webPr xml="1" sourceData="1" url="\\SV011117\giro\hastint2018_wr\hastint2018\users\X2020801\inter\116_BDMN-2019_DecomptesJourneesHab.xml" htmlTables="1" htmlFormat="all"/>
  </connection>
  <connection id="20" name="116_BDMN-2019_DecomptesJourneesHab16" type="4" refreshedVersion="0" background="1">
    <webPr xml="1" sourceData="1" url="\\SV011117\giro\hastint2018_wr\hastint2018\users\X2020801\inter\116_BDMN-2019_DecomptesJourneesHab.xml" htmlTables="1" htmlFormat="all"/>
  </connection>
  <connection id="21" name="116_BDMN-2019_DecomptesJourneesHab17" type="4" refreshedVersion="0" background="1">
    <webPr xml="1" sourceData="1" url="\\SV011117\giro\hastint2018_wr\hastint2018\users\X2020801\inter\116_BDMN-2019_DecomptesJourneesHab.xml" htmlTables="1" htmlFormat="all"/>
  </connection>
  <connection id="22" name="116_BDMN-2019_DecomptesJourneesHab2" type="4" refreshedVersion="0" background="1">
    <webPr xml="1" sourceData="1" url="\\SV011117\giro\hastint2018_wr\hastint2018\users\X2020801\inter\116_BDMN-2019_DecomptesJourneesHab.xml" htmlTables="1" htmlFormat="all"/>
  </connection>
  <connection id="23" name="116_BDMN-2019_DecomptesJourneesHab-2" type="4" refreshedVersion="0" background="1">
    <webPr xml="1" sourceData="1" url="\\SV011117\giro\hastint2018_wr\hastint2018\users\X2020801\inter\116_BDMN-2019_DecomptesJourneesHab-2.xml" htmlTables="1" htmlFormat="all"/>
  </connection>
  <connection id="24" name="116_BDMN-2019_DecomptesJourneesHab3" type="4" refreshedVersion="0" background="1">
    <webPr xml="1" sourceData="1" url="\\SV011117\giro\hastint2018_wr\hastint2018\users\X2020801\inter\116_BDMN-2019_DecomptesJourneesHab.xml" htmlTables="1" htmlFormat="all"/>
  </connection>
  <connection id="25" name="116_BDMN-2019_DecomptesJourneesHab4" type="4" refreshedVersion="0" background="1">
    <webPr xml="1" sourceData="1" url="\\SV011117\giro\hastint2018_wr\hastint2018\users\X2020801\inter\116_BDMN-2019_DecomptesJourneesHab.xml" htmlTables="1" htmlFormat="all"/>
  </connection>
  <connection id="26" name="116_BDMN-2019_DecomptesJourneesHab5" type="4" refreshedVersion="0" background="1">
    <webPr xml="1" sourceData="1" url="\\SV011117\giro\hastint2018_wr\hastint2018\users\X2020801\inter\116_BDMN-2019_DecomptesJourneesHab.xml" htmlTables="1" htmlFormat="all"/>
  </connection>
  <connection id="27" name="116_BDMN-2019_DecomptesJourneesHab6" type="4" refreshedVersion="0" background="1">
    <webPr xml="1" sourceData="1" url="\\SV011117\giro\hastint2018_wr\hastint2018\users\X2020801\inter\116_BDMN-2019_DecomptesJourneesHab.xml" htmlTables="1" htmlFormat="all"/>
  </connection>
  <connection id="28" name="116_BDMN-2019_DecomptesJourneesHab7" type="4" refreshedVersion="0" background="1">
    <webPr xml="1" sourceData="1" url="\\SV011117\giro\hastint2018_wr\hastint2018\users\X2020801\inter\116_BDMN-2019_DecomptesJourneesHab.xml" htmlTables="1" htmlFormat="all"/>
  </connection>
  <connection id="29" name="116_BDMN-2019_DecomptesJourneesHab8" type="4" refreshedVersion="0" background="1">
    <webPr xml="1" sourceData="1" url="\\SV011117\giro\hastint2018_wr\hastint2018\users\X2020801\inter\116_BDMN-2019_DecomptesJourneesHab.xml" htmlTables="1" htmlFormat="all"/>
  </connection>
  <connection id="30" name="116_BDMN-2019_DecomptesJourneesHab9" type="4" refreshedVersion="0" background="1">
    <webPr xml="1" sourceData="1" url="\\SV011117\giro\hastint2018_wr\hastint2018\users\X2020801\inter\116_BDMN-2019_DecomptesJourneesHab.xml" htmlTables="1" htmlFormat="all"/>
  </connection>
  <connection id="31" name="116_BDMN2020_DecomptesJourneesHab" type="4" refreshedVersion="0" background="1">
    <webPr xml="1" sourceData="1" url="\\SV011117\giro\hastint2018_wr\hastint2018\users\X2020801\inter\116_BDMN2020_DecomptesJourneesHab.xml" htmlTables="1" htmlFormat="all"/>
  </connection>
  <connection id="32" name="116JEUV1_H29" type="4" refreshedVersion="0" background="1">
    <webPr xml="1" sourceData="1" url="\\SV011117\giro\hastint2018_wr\hastint2018\users\X2020801\inter\Jeudi\116JEUV1_H29.xml" htmlTables="1" htmlFormat="all"/>
  </connection>
  <connection id="33" name="116JEUV1_H291" type="4" refreshedVersion="0" background="1">
    <webPr xml="1" sourceData="1" url="\\SV011117\giro\hastint2018_wr\hastint2018\users\X2020801\inter\Jeudi\116JEUV1_H29.xml" htmlTables="1" htmlFormat="all"/>
  </connection>
  <connection id="34" name="120_BDMN2020_DecomptesJourneesHab" type="4" refreshedVersion="0" background="1">
    <webPr xml="1" sourceData="1" url="\\SV011117\giro\hastint2018\files\oig\Editions\09 - Decomptes des services de plusieurs TM\template\105_PVNS2021_DecomptesJourneesHab.xml" htmlTables="1" htmlFormat="all"/>
  </connection>
  <connection id="35" name="385LAV81_H01" type="4" refreshedVersion="0" background="1">
    <webPr xml="1" sourceData="1" url="\\SV011117\giro\hastint2018_wr\hastint2018\users\X2020801\inter\Semaine\385LAV81_H01.xml" htmlTables="1" htmlFormat="all"/>
  </connection>
  <connection id="36" name="Decompte des journées de pls hab" type="4" refreshedVersion="0" background="1">
    <webPr xml="1" sourceData="1" url="\\SV011117\giro\hastint2018_wr\hastint2018\users\X2020801B2\inter\Decompte des journées de pls hab .xml" htmlTables="1" htmlFormat="all"/>
  </connection>
  <connection id="37" name="Decompte des journées de pls hab 2" type="4" refreshedVersion="0" background="1">
    <webPr xml="1" sourceData="1" url="\\SV011117\giro\hastint2018_wr\hastint2018\users\X2020801B2\inter\Decompte des journées de pls hab 2 .xml" htmlTables="1" htmlFormat="all"/>
  </connection>
  <connection id="38" name="Decompte des journées de pls hab 21" type="4" refreshedVersion="0" background="1">
    <webPr xml="1" sourceData="1" url="\\SV011117\giro\hastint2018_wr\hastint2018\users\X2020801B2\inter\Decompte des journées de pls hab 2 .xml" htmlTables="1" htmlFormat="all"/>
  </connection>
  <connection id="39" name="Decompte des journées de pls hab 22" type="4" refreshedVersion="0" background="1">
    <webPr xml="1" sourceData="1" url="\\SV011117\giro\hastint2018_wr\hastint2018\users\X2020801B2\inter\Decompte des journées de pls hab 2 .xml" htmlTables="1" htmlFormat="all"/>
  </connection>
  <connection id="40" name="Decompte des journées de pls hab 23" type="4" refreshedVersion="0" background="1">
    <webPr xml="1" sourceData="1" url="\\SV011117\giro\hastint2018_wr\hastint2018\users\X2020801B2\inter\Decompte des journées de pls hab 2 .xml" htmlTables="1" htmlFormat="all"/>
  </connection>
  <connection id="41" name="Decompte des journées de pls hab 24" type="4" refreshedVersion="0" background="1">
    <webPr xml="1" sourceData="1" url="\\SV011117\giro\hastint2018_wr\hastint2018\users\X2020801B2\inter\Decompte des journées de pls hab 2 .xml" htmlTables="1" htmlFormat="all"/>
  </connection>
  <connection id="42" name="Decompte des journées de pls hab 25" type="4" refreshedVersion="0" background="1">
    <webPr xml="1" sourceData="1" url="\\SV011117\giro\hastint2018_wr\hastint2018\users\X2020801B2\inter\Decompte des journées de pls hab 2 .xml" htmlTables="1" htmlFormat="all"/>
  </connection>
  <connection id="43" name="Decompte des journées de pls hab1" type="4" refreshedVersion="0" background="1">
    <webPr xml="1" sourceData="1" url="\\SV011117\giro\hastint2018_wr\hastint2018\users\X2020801B2\inter\Decompte des journées de pls hab .xml" htmlTables="1" htmlFormat="all"/>
  </connection>
  <connection id="44" name="Decompte des journées de pls hab2" type="4" refreshedVersion="0" background="1">
    <webPr xml="1" sourceData="1" url="\\SV011117\giro\hastint2018_wr\hastint2018\users\X2020801\inter\Decompte des journées de pls hab.xml" htmlTables="1" htmlFormat="all"/>
  </connection>
  <connection id="45" name="Decompte des journées de pls hab3" type="4" refreshedVersion="0" background="1">
    <webPr xml="1" sourceData="1" url="\\SV011117\giro\hastint2018_wr\hastint2018\users\X2020801\inter\Decompte des journées de pls hab.xml" htmlTables="1" htmlFormat="all"/>
  </connection>
  <connection id="46" name="Decompte des journées de pls hab4" type="4" refreshedVersion="0" background="1">
    <webPr xml="1" sourceData="1" url="\\SV011117\giro\hastint2018_wr\hastint2018\users\X2020801\inter\Decompte des journées de pls hab.xml" htmlTables="1" htmlFormat="all"/>
  </connection>
</connections>
</file>

<file path=xl/sharedStrings.xml><?xml version="1.0" encoding="utf-8"?>
<sst xmlns="http://schemas.openxmlformats.org/spreadsheetml/2006/main" count="342" uniqueCount="166">
  <si>
    <t>Décomptes des journées de plusieurs habillages</t>
  </si>
  <si>
    <t>Lieu et heure de début de vacation</t>
  </si>
  <si>
    <t>Lieu et heure de fin de vacation</t>
  </si>
  <si>
    <t>Temps de travail par vacation</t>
  </si>
  <si>
    <t>Durée amplitude</t>
  </si>
  <si>
    <t>Durée de coupure</t>
  </si>
  <si>
    <t>Prime deux fois</t>
  </si>
  <si>
    <t>Répartition du nombre de journées par ligne</t>
  </si>
  <si>
    <t>Temps alloué à l'achat ticket</t>
  </si>
  <si>
    <t>N° de journée et type jour</t>
  </si>
  <si>
    <t>Identification des journées</t>
  </si>
  <si>
    <t>Temps de travail</t>
  </si>
  <si>
    <t>Dérogation</t>
  </si>
  <si>
    <t>Dépôt agent</t>
  </si>
  <si>
    <t>Type jour</t>
  </si>
  <si>
    <t>Total des primes deux fois</t>
  </si>
  <si>
    <t>Répartition total du nombre de journées par ligne</t>
  </si>
  <si>
    <t>Total des temps alloués à l'achat ticket</t>
  </si>
  <si>
    <t>HLP</t>
  </si>
  <si>
    <t>Origine</t>
  </si>
  <si>
    <t>Destination</t>
  </si>
  <si>
    <t>Durée</t>
  </si>
  <si>
    <t>Nombre</t>
  </si>
  <si>
    <t>Total</t>
  </si>
  <si>
    <t>TTT</t>
  </si>
  <si>
    <t>Moyenne (TTT/JA)</t>
  </si>
  <si>
    <t>Dépôt voiture</t>
  </si>
  <si>
    <t>Nombre de sortie véhicule</t>
  </si>
  <si>
    <t>Nombre de voitures maximal</t>
  </si>
  <si>
    <t>A la pointe matin</t>
  </si>
  <si>
    <t>A la pointe soir</t>
  </si>
  <si>
    <t>Nombre de voiture nécessaires</t>
  </si>
  <si>
    <t>Code</t>
  </si>
  <si>
    <t>Libellé</t>
  </si>
  <si>
    <t>Ligne</t>
  </si>
  <si>
    <t>Nombre de journées (JA)</t>
  </si>
  <si>
    <t>Caractéristiques de l'habillage</t>
  </si>
  <si>
    <t>Motorisation</t>
  </si>
  <si>
    <t>Catégorie</t>
  </si>
  <si>
    <t>Type</t>
  </si>
  <si>
    <t>Nb. Jours d'application de l'habillage</t>
  </si>
  <si>
    <t>Lexique de l'édition Décomptes des journées de plusieurs habillages</t>
  </si>
  <si>
    <t>Descriptif et règles de calculs</t>
  </si>
  <si>
    <t xml:space="preserve">Moyenne générale:   </t>
  </si>
  <si>
    <t>TUV</t>
  </si>
  <si>
    <t>Moyenne générale</t>
  </si>
  <si>
    <t>Nom et scénario</t>
  </si>
  <si>
    <t>Amplitude de la journée</t>
  </si>
  <si>
    <t>Nom et scenario de chaque habillage</t>
  </si>
  <si>
    <t>Type jour d’application de chaque habillage</t>
  </si>
  <si>
    <t xml:space="preserve">Trigramme du lieu de départ du supplément HLP hors vacation </t>
  </si>
  <si>
    <t>Trigramme du lieu d’arrivé du supplément HLP hors vacation</t>
  </si>
  <si>
    <t>Durée du supplément HLP hors vacation</t>
  </si>
  <si>
    <t>Représente la description (libellé) de la catégorie de véhicule (ex : Standard, Articulé, Tramway, Midibus, Minibus, Minicar, etc.).</t>
  </si>
  <si>
    <t>Représente la description (libellé) du type d’énergie (ex : Électrique, GNV, GO, Hybride, etc.).</t>
  </si>
  <si>
    <t>Nbre</t>
  </si>
  <si>
    <t>Version de paramètres</t>
  </si>
  <si>
    <t>Version de règles</t>
  </si>
  <si>
    <t>Indice de ligne</t>
  </si>
  <si>
    <t>Contexte de service</t>
  </si>
  <si>
    <t>Libellé de l'habillage</t>
  </si>
  <si>
    <t>Type jour de l'habillage</t>
  </si>
  <si>
    <t>Dépôt</t>
  </si>
  <si>
    <t>L'attribution de supplément HLP est indiquée par un soulignement des heures de début et fin de vacation</t>
  </si>
  <si>
    <t>Légende</t>
  </si>
  <si>
    <t>Temps de travail par journée</t>
  </si>
  <si>
    <t>Temps de travail total par journée. Prend en compte les temps de suppléments HLP.</t>
  </si>
  <si>
    <t>Descriptions des trigrammes</t>
  </si>
  <si>
    <t>Catégorie / Type</t>
  </si>
  <si>
    <t>Somme des durées de coupure pour une journée
Valeur calculée à partir d'une formule utilisée dans l'OIG</t>
  </si>
  <si>
    <r>
      <t xml:space="preserve">Durée totale de l’achat ticket pour une journée.
Pour attribuer une ligne à un achat ticket on utilise l’attribut multiple </t>
    </r>
    <r>
      <rPr>
        <sz val="11"/>
        <color theme="9"/>
        <rFont val="Parisine Office"/>
        <family val="2"/>
      </rPr>
      <t xml:space="preserve"> [Répartition de la journée par ligne-jrn]. 
</t>
    </r>
    <r>
      <rPr>
        <sz val="11"/>
        <rFont val="Parisine Office"/>
        <family val="2"/>
      </rPr>
      <t>Valeur calculée à partir d'une formule utilisée dans l'OIG</t>
    </r>
  </si>
  <si>
    <t>Valeur en € de la prime accordée à une journée brisée
Valeur issue directement depuis HASTUS</t>
  </si>
  <si>
    <t>Nombre de journées (JA) de l’habillage par dépôt agent
Valeur calculée à partir d'une formule utilisée dans la macro Excel</t>
  </si>
  <si>
    <t>Somme des primes des temps compensateurs de vacations à la maille d'un dépôt agent
Valeur calculée à partir d'une formule utilisée dans la macro Excel</t>
  </si>
  <si>
    <t>Somme des durées des achats tickets à la maille d'un dépôt agent
Valeur calculée à partir d'une formule utilisée dans la macro Excel</t>
  </si>
  <si>
    <t>Nombre de supplément HLP hors vacation
Valeur calculée à partir d'une formule utilisée dans la macro Excel</t>
  </si>
  <si>
    <r>
      <t xml:space="preserve">Durée de chaque supplément HLP  hors vacation multiplié par son nombre de réalisation 
Pour attribuer une ligne à un supplément HLP :
• Pour l’activité de journée « Suppl HLP de »,  prendre la valeur de la ligne du premier voyage suivant ce sup HLP.
• Pour l’activité de journée « Suppl HLP vers »,  prendre la valeur de la ligne du dernier voyage précédant ce sup HLP. 
</t>
    </r>
    <r>
      <rPr>
        <sz val="11"/>
        <rFont val="Parisine Office"/>
        <family val="2"/>
      </rPr>
      <t>Valeur calculée à partir d'une formule utilisée dans la macro Excel</t>
    </r>
  </si>
  <si>
    <t>Somme des temps travaillés suivants :
Allocations de prise et de fin de service, voyages (tous les sous-types), Hors Voiture, Battement qui suivent les voyages, Déplacements, Pauses/pauses dues/pauses café, glissements, Suppléments HLP, Achats Tickets, Act de véhicule annexes
Valeur calculée à partir d'une formule utilisée dans la macro Excel</t>
  </si>
  <si>
    <t>Résultat du calcul :
Temps total de travail de chaque habillage, divisé par le nombre de journées
Valeur calculée à partir d'une formule utilisée dans la macro Excel</t>
  </si>
  <si>
    <r>
      <rPr>
        <sz val="11"/>
        <color rgb="FFFF0000"/>
        <rFont val="Parisine Office"/>
        <family val="2"/>
      </rPr>
      <t>A REMPLIR MANUELLEMENT</t>
    </r>
    <r>
      <rPr>
        <sz val="11"/>
        <color theme="1"/>
        <rFont val="Parisine Office"/>
        <family val="2"/>
      </rPr>
      <t xml:space="preserve">
Permet de calculer automatiquement la moyenne générale de tous les habillages sélectionnés</t>
    </r>
  </si>
  <si>
    <t>Nombre de voyages de sortie réalisés par habillage
Valeur calculée à partir d'une formule utilisée dans la macro Excel</t>
  </si>
  <si>
    <t>Nombre de véhicules maximum roulant entre 22’ et 11:59, avec prise en compte des véhicules stationnés garés et des temps de prise et de fin de service.
Valeurs issues directement depuis HASTUS</t>
  </si>
  <si>
    <t>Nombre de véhicules  maximum roulant entre 12:00 et 30:00,  avec prise en compte des véhicules stationnés garés et des temps de prise et de fin de service.
Valeurs issues directement depuis HASTUS</t>
  </si>
  <si>
    <t>Nombre maximal entre le nombre de voitures maximal à la pointe matin et à la pointe soir.
Valeurs issues directement depuis HASTUS</t>
  </si>
  <si>
    <t>Moyenne générale de tous les habillages sélectionnés (à partir de la moyenne et du nombre de jours d’application de chaque habillage)
Valeur calculée à partir des nombres de jours d'application de chaque habillage remplis manuellement au préalable dans les cases correspondantes de l'édition. Elle est arrondie à la minute supérieure strictement: 6:31:12 --&gt; 6:32</t>
  </si>
  <si>
    <t>Temps total d’utilisation des véhicules de l’horaire de véhicules (incluant les temps en service, les temps hors service, le temps de battement, etc.). Correspond au temps total dans les statistiques de l’horaire de véhicules.
--&gt; Somme de la durée de tous les voyages, de la durée de tous les battements et de la durée de toutes les opérations techniques pour des voyages et  les activités de véhicule annexes dont la tâche véhicule appartiennent au même dépôt
Pour avoir tous les battements, il faut prendre les battements à la fin des voyages mais également à la fin des activités de voitures (hors voyages)
Valeur calculée à partir d'une formule utilisée dans la macro Excel</t>
  </si>
  <si>
    <t>TS-CTJ</t>
  </si>
  <si>
    <t>Durée de dépassement de la durée de référence</t>
  </si>
  <si>
    <t xml:space="preserve">TS-CTJ total </t>
  </si>
  <si>
    <t>Somme totale des durée de dépassement de la durée de référence</t>
  </si>
  <si>
    <t>TS-CTJ total</t>
  </si>
  <si>
    <t>058LAV10 01</t>
  </si>
  <si>
    <t>RDS-CST_02</t>
  </si>
  <si>
    <t>CST13_058A</t>
  </si>
  <si>
    <t>V_Mala</t>
  </si>
  <si>
    <t>VS</t>
  </si>
  <si>
    <t>Semaine</t>
  </si>
  <si>
    <t>MALA01</t>
  </si>
  <si>
    <t>PoVa06</t>
  </si>
  <si>
    <t>PoVa01</t>
  </si>
  <si>
    <t>MALAKOFF</t>
  </si>
  <si>
    <t>Porte de Vanves</t>
  </si>
  <si>
    <t>05:35</t>
  </si>
  <si>
    <t>05:54</t>
  </si>
  <si>
    <t>05:59</t>
  </si>
  <si>
    <t>06:08</t>
  </si>
  <si>
    <t>06:12</t>
  </si>
  <si>
    <t>06:40</t>
  </si>
  <si>
    <t>06:59</t>
  </si>
  <si>
    <t>07:01</t>
  </si>
  <si>
    <t>07:20</t>
  </si>
  <si>
    <t>08:42</t>
  </si>
  <si>
    <t>09:21</t>
  </si>
  <si>
    <t>13:00</t>
  </si>
  <si>
    <t>12:11</t>
  </si>
  <si>
    <t>12:37</t>
  </si>
  <si>
    <t>13:49</t>
  </si>
  <si>
    <t>13:13</t>
  </si>
  <si>
    <t>12:49</t>
  </si>
  <si>
    <t>15:43</t>
  </si>
  <si>
    <t>06:26</t>
  </si>
  <si>
    <t>13:25</t>
  </si>
  <si>
    <t>06:42</t>
  </si>
  <si>
    <t>12:23</t>
  </si>
  <si>
    <t>14:48</t>
  </si>
  <si>
    <t>15:37</t>
  </si>
  <si>
    <t>15:49</t>
  </si>
  <si>
    <t>16:38</t>
  </si>
  <si>
    <t>17:01</t>
  </si>
  <si>
    <t>16:21</t>
  </si>
  <si>
    <t>16:14</t>
  </si>
  <si>
    <t>17:30</t>
  </si>
  <si>
    <t>12:54</t>
  </si>
  <si>
    <t>13:18</t>
  </si>
  <si>
    <t>12:16</t>
  </si>
  <si>
    <t>13:30</t>
  </si>
  <si>
    <t>12:28</t>
  </si>
  <si>
    <t>13:05</t>
  </si>
  <si>
    <t>13:06</t>
  </si>
  <si>
    <t>14:30</t>
  </si>
  <si>
    <t>14:53</t>
  </si>
  <si>
    <t>15:54</t>
  </si>
  <si>
    <t>16:26</t>
  </si>
  <si>
    <t>19:02</t>
  </si>
  <si>
    <t>19:20</t>
  </si>
  <si>
    <t>19:32</t>
  </si>
  <si>
    <t>20:07</t>
  </si>
  <si>
    <t>20:22</t>
  </si>
  <si>
    <t>20:37</t>
  </si>
  <si>
    <t>21:51</t>
  </si>
  <si>
    <t>12:03</t>
  </si>
  <si>
    <t>15:42</t>
  </si>
  <si>
    <t>10:28</t>
  </si>
  <si>
    <t>16:19</t>
  </si>
  <si>
    <t>22:16</t>
  </si>
  <si>
    <t>22:30</t>
  </si>
  <si>
    <t>22:59</t>
  </si>
  <si>
    <t>23:15</t>
  </si>
  <si>
    <t>23:35</t>
  </si>
  <si>
    <t>23:51</t>
  </si>
  <si>
    <t>23:55</t>
  </si>
  <si>
    <t>24:15</t>
  </si>
  <si>
    <t>Lgn 058 : 100.0%</t>
  </si>
  <si>
    <t>A_Mala</t>
  </si>
  <si>
    <t>Malakoff</t>
  </si>
  <si>
    <t>Standard Electrique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</si>
</sst>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quot;h&quot;mm"/>
    <numFmt numFmtId="165" formatCode="#,##0.00\ &quot;€&quot;"/>
  </numFmts>
  <fonts count="37">
    <font>
      <sz val="11"/>
      <color theme="1"/>
      <name val="Calibri"/>
      <family val="2"/>
      <scheme val="minor"/>
    </font>
    <font>
      <sz val="12"/>
      <color rgb="FF000000"/>
      <name val="Parisine Office"/>
      <family val="2"/>
    </font>
    <font>
      <b/>
      <sz val="12"/>
      <color rgb="FF000000"/>
      <name val="Parisine Office"/>
      <family val="2"/>
    </font>
    <font>
      <b/>
      <sz val="20"/>
      <color theme="0"/>
      <name val="Parisine Office"/>
      <family val="2"/>
    </font>
    <font>
      <sz val="8"/>
      <color theme="1"/>
      <name val="Parisine Office"/>
      <family val="2"/>
    </font>
    <font>
      <b/>
      <sz val="12"/>
      <color theme="0"/>
      <name val="Parisine Office"/>
      <family val="2"/>
    </font>
    <font>
      <b/>
      <sz val="11"/>
      <color theme="0"/>
      <name val="Parisine Office"/>
      <family val="2"/>
    </font>
    <font>
      <sz val="11"/>
      <color rgb="FF000000"/>
      <name val="Parisine Office"/>
      <family val="2"/>
    </font>
    <font>
      <sz val="11"/>
      <color theme="1"/>
      <name val="Parisine Office"/>
      <family val="2"/>
    </font>
    <font>
      <sz val="12"/>
      <color theme="1"/>
      <name val="Parisine Office"/>
      <family val="2"/>
    </font>
    <font>
      <b/>
      <sz val="20"/>
      <color rgb="FF000000"/>
      <name val="Parisine Office"/>
      <family val="2"/>
    </font>
    <font>
      <b/>
      <sz val="16"/>
      <color rgb="FF000000"/>
      <name val="Parisine Office"/>
      <family val="2"/>
    </font>
    <font>
      <b/>
      <sz val="11"/>
      <color theme="1"/>
      <name val="Parisine Office"/>
      <family val="2"/>
    </font>
    <font>
      <b/>
      <sz val="12"/>
      <color theme="1"/>
      <name val="Parisine Office"/>
      <family val="2"/>
    </font>
    <font>
      <b/>
      <sz val="11"/>
      <color rgb="FF000000"/>
      <name val="Parisine Office"/>
      <family val="2"/>
    </font>
    <font>
      <sz val="11"/>
      <name val="Parisine Office"/>
      <family val="2"/>
    </font>
    <font>
      <b/>
      <sz val="14"/>
      <color theme="0"/>
      <name val="Parisine Office"/>
      <family val="2"/>
    </font>
    <font>
      <sz val="11"/>
      <color rgb="FFFF0000"/>
      <name val="Parisine Office"/>
      <family val="2"/>
    </font>
    <font>
      <sz val="11"/>
      <color theme="9"/>
      <name val="Parisine Office"/>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Parisine Office"/>
      <family val="2"/>
    </font>
  </fonts>
  <fills count="62">
    <fill>
      <patternFill patternType="none"/>
    </fill>
    <fill>
      <patternFill patternType="gray125"/>
    </fill>
    <fill>
      <patternFill patternType="solid">
        <fgColor theme="5"/>
        <bgColor indexed="64"/>
      </patternFill>
    </fill>
    <fill>
      <patternFill patternType="solid">
        <fgColor theme="4"/>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theme="7"/>
        <bgColor indexed="64"/>
      </patternFill>
    </fill>
    <fill>
      <patternFill patternType="solid">
        <fgColor theme="1"/>
        <bgColor indexed="64"/>
      </patternFill>
    </fill>
    <fill>
      <patternFill patternType="solid">
        <fgColor theme="0" tint="-0.14999847407452621"/>
        <bgColor indexed="64"/>
      </patternFill>
    </fill>
    <fill>
      <patternFill patternType="solid">
        <fgColor theme="9"/>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C00000"/>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42">
    <xf numFmtId="0" fontId="0" fillId="0" borderId="0"/>
    <xf numFmtId="0" fontId="20" fillId="0" borderId="0" applyNumberFormat="0" applyFill="0" applyBorder="0" applyAlignment="0" applyProtection="0"/>
    <xf numFmtId="0" fontId="21" fillId="0" borderId="47" applyNumberFormat="0" applyFill="0" applyAlignment="0" applyProtection="0"/>
    <xf numFmtId="0" fontId="22" fillId="0" borderId="48" applyNumberFormat="0" applyFill="0" applyAlignment="0" applyProtection="0"/>
    <xf numFmtId="0" fontId="23" fillId="0" borderId="49" applyNumberFormat="0" applyFill="0" applyAlignment="0" applyProtection="0"/>
    <xf numFmtId="0" fontId="23" fillId="0" borderId="0" applyNumberFormat="0" applyFill="0" applyBorder="0" applyAlignment="0" applyProtection="0"/>
    <xf numFmtId="0" fontId="24" fillId="31" borderId="0" applyNumberFormat="0" applyBorder="0" applyAlignment="0" applyProtection="0"/>
    <xf numFmtId="0" fontId="25" fillId="32" borderId="0" applyNumberFormat="0" applyBorder="0" applyAlignment="0" applyProtection="0"/>
    <xf numFmtId="0" fontId="26" fillId="33" borderId="0" applyNumberFormat="0" applyBorder="0" applyAlignment="0" applyProtection="0"/>
    <xf numFmtId="0" fontId="27" fillId="34" borderId="50" applyNumberFormat="0" applyAlignment="0" applyProtection="0"/>
    <xf numFmtId="0" fontId="28" fillId="35" borderId="51" applyNumberFormat="0" applyAlignment="0" applyProtection="0"/>
    <xf numFmtId="0" fontId="29" fillId="35" borderId="50" applyNumberFormat="0" applyAlignment="0" applyProtection="0"/>
    <xf numFmtId="0" fontId="30" fillId="0" borderId="52" applyNumberFormat="0" applyFill="0" applyAlignment="0" applyProtection="0"/>
    <xf numFmtId="0" fontId="31" fillId="36" borderId="53" applyNumberFormat="0" applyAlignment="0" applyProtection="0"/>
    <xf numFmtId="0" fontId="32" fillId="0" borderId="0" applyNumberFormat="0" applyFill="0" applyBorder="0" applyAlignment="0" applyProtection="0"/>
    <xf numFmtId="0" fontId="19" fillId="37" borderId="54" applyNumberFormat="0" applyFont="0" applyAlignment="0" applyProtection="0"/>
    <xf numFmtId="0" fontId="33" fillId="0" borderId="0" applyNumberFormat="0" applyFill="0" applyBorder="0" applyAlignment="0" applyProtection="0"/>
    <xf numFmtId="0" fontId="34" fillId="0" borderId="55" applyNumberFormat="0" applyFill="0" applyAlignment="0" applyProtection="0"/>
    <xf numFmtId="0" fontId="35"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35" fillId="41" borderId="0" applyNumberFormat="0" applyBorder="0" applyAlignment="0" applyProtection="0"/>
    <xf numFmtId="0" fontId="35"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35" fillId="45" borderId="0" applyNumberFormat="0" applyBorder="0" applyAlignment="0" applyProtection="0"/>
    <xf numFmtId="0" fontId="35"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35" fillId="49" borderId="0" applyNumberFormat="0" applyBorder="0" applyAlignment="0" applyProtection="0"/>
    <xf numFmtId="0" fontId="35"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35" fillId="53" borderId="0" applyNumberFormat="0" applyBorder="0" applyAlignment="0" applyProtection="0"/>
    <xf numFmtId="0" fontId="35" fillId="54" borderId="0" applyNumberFormat="0" applyBorder="0" applyAlignment="0" applyProtection="0"/>
    <xf numFmtId="0" fontId="19" fillId="55" borderId="0" applyNumberFormat="0" applyBorder="0" applyAlignment="0" applyProtection="0"/>
    <xf numFmtId="0" fontId="19" fillId="56" borderId="0" applyNumberFormat="0" applyBorder="0" applyAlignment="0" applyProtection="0"/>
    <xf numFmtId="0" fontId="35" fillId="57" borderId="0" applyNumberFormat="0" applyBorder="0" applyAlignment="0" applyProtection="0"/>
    <xf numFmtId="0" fontId="35" fillId="58" borderId="0" applyNumberFormat="0" applyBorder="0" applyAlignment="0" applyProtection="0"/>
    <xf numFmtId="0" fontId="19" fillId="59" borderId="0" applyNumberFormat="0" applyBorder="0" applyAlignment="0" applyProtection="0"/>
    <xf numFmtId="0" fontId="19" fillId="60" borderId="0" applyNumberFormat="0" applyBorder="0" applyAlignment="0" applyProtection="0"/>
    <xf numFmtId="0" fontId="35" fillId="61" borderId="0" applyNumberFormat="0" applyBorder="0" applyAlignment="0" applyProtection="0"/>
  </cellStyleXfs>
  <cellXfs count="301">
    <xf numFmtId="0" fontId="0" fillId="0" borderId="0" xfId="0"/>
    <xf numFmtId="0" fontId="4" fillId="0" borderId="0" xfId="0" applyFont="1" applyAlignment="1">
      <alignment horizontal="center" vertical="center" wrapText="1"/>
    </xf>
    <xf numFmtId="0" fontId="8" fillId="0" borderId="0" xfId="0" applyFont="1" applyAlignment="1">
      <alignment wrapText="1"/>
    </xf>
    <xf numFmtId="0" fontId="8" fillId="0" borderId="0" xfId="0" applyFont="1" applyAlignment="1">
      <alignment horizontal="center" vertical="center" wrapText="1"/>
    </xf>
    <xf numFmtId="0" fontId="8" fillId="0" borderId="0" xfId="0" applyFont="1" applyAlignment="1">
      <alignment vertical="center" wrapText="1"/>
    </xf>
    <xf numFmtId="0" fontId="8" fillId="14" borderId="0" xfId="0" applyFont="1" applyFill="1" applyAlignment="1">
      <alignment vertical="center" wrapText="1"/>
    </xf>
    <xf numFmtId="0" fontId="12" fillId="0" borderId="0" xfId="0" applyFont="1" applyAlignment="1">
      <alignment horizontal="center" vertical="center" wrapText="1"/>
    </xf>
    <xf numFmtId="0" fontId="12" fillId="0" borderId="0" xfId="0" applyFont="1" applyAlignment="1">
      <alignment vertical="center" wrapText="1"/>
    </xf>
    <xf numFmtId="20" fontId="8" fillId="26" borderId="0" xfId="0" applyNumberFormat="1" applyFont="1" applyFill="1" applyBorder="1" applyAlignment="1">
      <alignment horizontal="center" vertical="center" wrapText="1"/>
    </xf>
    <xf numFmtId="0" fontId="8" fillId="26" borderId="13" xfId="0" applyFont="1" applyFill="1" applyBorder="1" applyAlignment="1">
      <alignment horizontal="center" vertical="center" wrapText="1"/>
    </xf>
    <xf numFmtId="20" fontId="8" fillId="26" borderId="24" xfId="0" applyNumberFormat="1" applyFont="1" applyFill="1" applyBorder="1" applyAlignment="1">
      <alignment horizontal="center" vertical="center" wrapText="1"/>
    </xf>
    <xf numFmtId="164" fontId="8" fillId="26" borderId="1" xfId="0" applyNumberFormat="1" applyFont="1" applyFill="1" applyBorder="1" applyAlignment="1">
      <alignment horizontal="center" vertical="center" wrapText="1"/>
    </xf>
    <xf numFmtId="164" fontId="8" fillId="26" borderId="2" xfId="0" applyNumberFormat="1" applyFont="1" applyFill="1" applyBorder="1" applyAlignment="1">
      <alignment horizontal="center" vertical="center" wrapText="1"/>
    </xf>
    <xf numFmtId="164" fontId="8" fillId="26" borderId="0" xfId="0" applyNumberFormat="1" applyFont="1" applyFill="1" applyBorder="1" applyAlignment="1">
      <alignment horizontal="center" vertical="center" wrapText="1"/>
    </xf>
    <xf numFmtId="164" fontId="8" fillId="26" borderId="24" xfId="0" applyNumberFormat="1" applyFont="1" applyFill="1" applyBorder="1" applyAlignment="1">
      <alignment horizontal="center" vertical="center" wrapText="1"/>
    </xf>
    <xf numFmtId="164" fontId="8" fillId="26" borderId="3" xfId="0" applyNumberFormat="1" applyFont="1" applyFill="1" applyBorder="1" applyAlignment="1">
      <alignment horizontal="center" vertical="center" wrapText="1"/>
    </xf>
    <xf numFmtId="0" fontId="8" fillId="26" borderId="0"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26" borderId="6" xfId="0" applyFont="1" applyFill="1" applyBorder="1" applyAlignment="1">
      <alignment horizontal="center" vertical="center" wrapText="1"/>
    </xf>
    <xf numFmtId="0" fontId="12" fillId="18" borderId="58" xfId="0" applyFont="1" applyFill="1" applyBorder="1" applyAlignment="1">
      <alignment horizontal="center" vertical="center" wrapText="1"/>
    </xf>
    <xf numFmtId="0" fontId="12" fillId="17" borderId="59" xfId="0" applyFont="1" applyFill="1" applyBorder="1" applyAlignment="1">
      <alignment horizontal="center" vertical="center" wrapText="1"/>
    </xf>
    <xf numFmtId="0" fontId="12" fillId="4" borderId="56" xfId="0" applyFont="1" applyFill="1" applyBorder="1" applyAlignment="1">
      <alignment horizontal="center" vertical="center" wrapText="1"/>
    </xf>
    <xf numFmtId="0" fontId="12" fillId="5" borderId="57" xfId="0" applyFont="1" applyFill="1" applyBorder="1" applyAlignment="1">
      <alignment horizontal="center" vertical="center" wrapText="1"/>
    </xf>
    <xf numFmtId="0" fontId="12" fillId="15" borderId="58" xfId="0" applyFont="1" applyFill="1" applyBorder="1" applyAlignment="1">
      <alignment horizontal="center" vertical="center" wrapText="1"/>
    </xf>
    <xf numFmtId="0" fontId="12" fillId="22" borderId="59" xfId="0" applyFont="1" applyFill="1" applyBorder="1" applyAlignment="1">
      <alignment horizontal="center" vertical="center" wrapText="1"/>
    </xf>
    <xf numFmtId="0" fontId="12" fillId="15" borderId="59" xfId="0" applyFont="1" applyFill="1" applyBorder="1" applyAlignment="1">
      <alignment horizontal="center" vertical="center" wrapText="1"/>
    </xf>
    <xf numFmtId="0" fontId="12" fillId="15" borderId="60" xfId="0" applyFont="1" applyFill="1" applyBorder="1" applyAlignment="1">
      <alignment horizontal="center" vertical="center" wrapText="1"/>
    </xf>
    <xf numFmtId="0" fontId="8" fillId="0" borderId="3" xfId="0" applyFont="1" applyBorder="1" applyAlignment="1">
      <alignment vertical="center" wrapText="1"/>
    </xf>
    <xf numFmtId="0" fontId="8" fillId="0" borderId="0" xfId="0" applyFont="1" applyBorder="1" applyAlignment="1">
      <alignment wrapText="1"/>
    </xf>
    <xf numFmtId="0" fontId="4" fillId="0" borderId="0" xfId="0" applyFont="1" applyBorder="1" applyAlignment="1">
      <alignment horizontal="center" vertical="center" wrapText="1"/>
    </xf>
    <xf numFmtId="0" fontId="8" fillId="0" borderId="0" xfId="0" applyFont="1" applyBorder="1" applyAlignment="1">
      <alignment vertical="center" wrapText="1"/>
    </xf>
    <xf numFmtId="0" fontId="12" fillId="0" borderId="0" xfId="0" applyFont="1" applyBorder="1" applyAlignment="1">
      <alignment vertical="center" wrapText="1"/>
    </xf>
    <xf numFmtId="0" fontId="12" fillId="0" borderId="0" xfId="0" applyFont="1" applyBorder="1" applyAlignment="1">
      <alignment horizontal="center" vertical="center" wrapText="1"/>
    </xf>
    <xf numFmtId="0" fontId="8" fillId="0" borderId="0" xfId="0" applyFont="1" applyBorder="1" applyAlignment="1">
      <alignment horizontal="center" vertical="center" wrapText="1"/>
    </xf>
    <xf numFmtId="0" fontId="12" fillId="27" borderId="56" xfId="0" applyFont="1" applyFill="1" applyBorder="1" applyAlignment="1">
      <alignment horizontal="center" vertical="center" wrapText="1"/>
    </xf>
    <xf numFmtId="0" fontId="12" fillId="25" borderId="60" xfId="0" applyFont="1" applyFill="1" applyBorder="1" applyAlignment="1">
      <alignment horizontal="center" vertical="center" wrapText="1"/>
    </xf>
    <xf numFmtId="165" fontId="8" fillId="26" borderId="24" xfId="0" applyNumberFormat="1" applyFont="1" applyFill="1" applyBorder="1" applyAlignment="1">
      <alignment horizontal="center" vertical="center" wrapText="1"/>
    </xf>
    <xf numFmtId="165" fontId="8" fillId="26" borderId="0" xfId="0" applyNumberFormat="1" applyFont="1" applyFill="1" applyBorder="1" applyAlignment="1">
      <alignment horizontal="center" vertical="center" wrapText="1"/>
    </xf>
    <xf numFmtId="0" fontId="0" fillId="0" borderId="0" xfId="0"/>
    <xf numFmtId="0" fontId="8" fillId="0" borderId="0" xfId="0" applyFont="1" applyAlignment="1">
      <alignment horizontal="center" vertical="center"/>
    </xf>
    <xf numFmtId="0" fontId="7" fillId="4" borderId="33" xfId="0" applyFont="1" applyFill="1" applyBorder="1" applyAlignment="1">
      <alignment horizontal="center" vertical="center" wrapText="1"/>
    </xf>
    <xf numFmtId="0" fontId="7" fillId="5" borderId="34" xfId="0" applyFont="1" applyFill="1" applyBorder="1" applyAlignment="1">
      <alignment horizontal="center" vertical="center" wrapText="1"/>
    </xf>
    <xf numFmtId="0" fontId="8" fillId="4" borderId="33" xfId="0" applyFont="1" applyFill="1" applyBorder="1" applyAlignment="1">
      <alignment horizontal="center" vertical="center" wrapText="1"/>
    </xf>
    <xf numFmtId="0" fontId="8" fillId="5" borderId="34"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8" fillId="15" borderId="6" xfId="0" applyFont="1" applyFill="1" applyBorder="1" applyAlignment="1">
      <alignment horizontal="center" vertical="center" wrapText="1"/>
    </xf>
    <xf numFmtId="0" fontId="8" fillId="22" borderId="6" xfId="0" applyFont="1" applyFill="1" applyBorder="1" applyAlignment="1">
      <alignment horizontal="center" vertical="center" wrapText="1"/>
    </xf>
    <xf numFmtId="0" fontId="8" fillId="25" borderId="6" xfId="0" applyFont="1" applyFill="1" applyBorder="1" applyAlignment="1">
      <alignment horizontal="center" vertical="center" wrapText="1"/>
    </xf>
    <xf numFmtId="0" fontId="8" fillId="26" borderId="0" xfId="0" applyFont="1" applyFill="1" applyAlignment="1">
      <alignment horizontal="left" vertical="center"/>
    </xf>
    <xf numFmtId="0" fontId="5" fillId="6" borderId="7"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7" fillId="11" borderId="8" xfId="0" applyFont="1" applyFill="1" applyBorder="1" applyAlignment="1">
      <alignment horizontal="center" vertical="center" wrapText="1"/>
    </xf>
    <xf numFmtId="0" fontId="8" fillId="18" borderId="7"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9" fillId="14" borderId="9" xfId="0" applyFont="1" applyFill="1" applyBorder="1" applyAlignment="1">
      <alignment horizontal="center" vertical="center"/>
    </xf>
    <xf numFmtId="0" fontId="8" fillId="14" borderId="10" xfId="0" applyFont="1" applyFill="1" applyBorder="1" applyAlignment="1">
      <alignment horizontal="center" vertical="center"/>
    </xf>
    <xf numFmtId="0" fontId="8" fillId="14" borderId="10" xfId="0" applyFont="1" applyFill="1" applyBorder="1" applyAlignment="1">
      <alignment horizontal="left" vertical="center"/>
    </xf>
    <xf numFmtId="0" fontId="8" fillId="14" borderId="11" xfId="0" applyFont="1" applyFill="1" applyBorder="1" applyAlignment="1">
      <alignment horizontal="left" vertical="center"/>
    </xf>
    <xf numFmtId="0" fontId="8" fillId="27" borderId="7" xfId="0" applyFont="1" applyFill="1" applyBorder="1" applyAlignment="1">
      <alignment horizontal="center" vertical="center" wrapText="1"/>
    </xf>
    <xf numFmtId="0" fontId="8" fillId="22" borderId="8" xfId="0" applyFont="1" applyFill="1" applyBorder="1" applyAlignment="1">
      <alignment horizontal="center" vertical="center" wrapText="1"/>
    </xf>
    <xf numFmtId="0" fontId="0" fillId="0" borderId="6" xfId="0" applyBorder="1"/>
    <xf numFmtId="164" fontId="8" fillId="26" borderId="6" xfId="0" applyNumberFormat="1" applyFont="1" applyFill="1" applyBorder="1" applyAlignment="1">
      <alignment horizontal="center" vertical="center" wrapText="1"/>
    </xf>
    <xf numFmtId="165" fontId="8" fillId="26" borderId="6" xfId="0" applyNumberFormat="1" applyFont="1" applyFill="1" applyBorder="1" applyAlignment="1">
      <alignment horizontal="center" vertical="center" wrapText="1"/>
    </xf>
    <xf numFmtId="0" fontId="8" fillId="26" borderId="6" xfId="0" applyNumberFormat="1" applyFont="1" applyFill="1" applyBorder="1" applyAlignment="1">
      <alignment horizontal="center" vertical="center" wrapText="1"/>
    </xf>
    <xf numFmtId="0" fontId="8" fillId="19" borderId="6" xfId="0" applyFont="1" applyFill="1" applyBorder="1" applyAlignment="1">
      <alignment horizontal="center" vertical="center" wrapText="1"/>
    </xf>
    <xf numFmtId="21" fontId="8" fillId="26" borderId="6" xfId="0" applyNumberFormat="1" applyFont="1" applyFill="1" applyBorder="1" applyAlignment="1">
      <alignment horizontal="center" vertical="center" wrapText="1"/>
    </xf>
    <xf numFmtId="21" fontId="12" fillId="29" borderId="5" xfId="0" applyNumberFormat="1" applyFont="1" applyFill="1" applyBorder="1" applyAlignment="1">
      <alignment horizontal="center" vertical="center" wrapText="1"/>
    </xf>
    <xf numFmtId="0" fontId="8" fillId="26" borderId="19" xfId="0" applyFont="1" applyFill="1" applyBorder="1" applyAlignment="1">
      <alignment horizontal="center" vertical="center" wrapText="1"/>
    </xf>
    <xf numFmtId="0" fontId="8" fillId="26" borderId="22" xfId="0" applyFont="1" applyFill="1" applyBorder="1" applyAlignment="1">
      <alignment horizontal="center" vertical="center" wrapText="1"/>
    </xf>
    <xf numFmtId="0" fontId="8" fillId="26" borderId="40" xfId="0" applyFont="1" applyFill="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0" xfId="0" applyFont="1" applyBorder="1" applyAlignment="1">
      <alignment horizontal="center" wrapText="1"/>
    </xf>
    <xf numFmtId="0" fontId="8" fillId="0" borderId="38" xfId="0" applyFont="1" applyBorder="1" applyAlignment="1">
      <alignment horizontal="center" wrapText="1"/>
    </xf>
    <xf numFmtId="0" fontId="8" fillId="0" borderId="11" xfId="0" applyFont="1" applyBorder="1" applyAlignment="1">
      <alignment horizontal="center" wrapText="1"/>
    </xf>
    <xf numFmtId="0" fontId="1" fillId="0" borderId="43" xfId="0" applyFont="1" applyBorder="1" applyAlignment="1">
      <alignment horizontal="left" vertical="center" wrapText="1"/>
    </xf>
    <xf numFmtId="0" fontId="1" fillId="0" borderId="44" xfId="0" applyFont="1" applyBorder="1" applyAlignment="1">
      <alignment horizontal="left"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30" xfId="0" applyFont="1" applyBorder="1" applyAlignment="1">
      <alignment horizontal="center" vertical="center" wrapText="1"/>
    </xf>
    <xf numFmtId="0" fontId="1" fillId="0" borderId="13" xfId="0" applyFont="1" applyBorder="1" applyAlignment="1">
      <alignment horizontal="left" vertical="center" wrapText="1"/>
    </xf>
    <xf numFmtId="0" fontId="1" fillId="0" borderId="6" xfId="0" applyFont="1" applyBorder="1" applyAlignment="1">
      <alignment horizontal="left" vertical="center" wrapText="1"/>
    </xf>
    <xf numFmtId="0" fontId="2" fillId="0" borderId="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2" xfId="0" applyFont="1" applyBorder="1" applyAlignment="1">
      <alignment horizontal="center" vertical="center" wrapText="1"/>
    </xf>
    <xf numFmtId="0" fontId="1" fillId="0" borderId="14" xfId="0" applyFont="1" applyBorder="1" applyAlignment="1">
      <alignment horizontal="left" vertical="center" wrapText="1"/>
    </xf>
    <xf numFmtId="0" fontId="1" fillId="0" borderId="8" xfId="0" applyFont="1" applyBorder="1" applyAlignment="1">
      <alignment horizontal="left" vertical="center" wrapText="1"/>
    </xf>
    <xf numFmtId="14" fontId="2" fillId="0" borderId="8" xfId="0" applyNumberFormat="1" applyFont="1" applyBorder="1" applyAlignment="1">
      <alignment horizontal="center" vertical="center" wrapText="1"/>
    </xf>
    <xf numFmtId="14" fontId="2" fillId="0" borderId="15" xfId="0" applyNumberFormat="1" applyFont="1" applyBorder="1" applyAlignment="1">
      <alignment horizontal="center" vertical="center" wrapText="1"/>
    </xf>
    <xf numFmtId="14" fontId="2" fillId="0" borderId="16" xfId="0" applyNumberFormat="1" applyFont="1" applyBorder="1" applyAlignment="1">
      <alignment horizontal="center" vertical="center" wrapText="1"/>
    </xf>
    <xf numFmtId="14" fontId="2" fillId="0" borderId="17" xfId="0" applyNumberFormat="1" applyFont="1" applyBorder="1" applyAlignment="1">
      <alignment horizontal="center" vertical="center" wrapText="1"/>
    </xf>
    <xf numFmtId="9" fontId="8" fillId="26" borderId="1" xfId="0" applyNumberFormat="1" applyFont="1" applyFill="1" applyBorder="1" applyAlignment="1">
      <alignment horizontal="center" vertical="center" wrapText="1"/>
    </xf>
    <xf numFmtId="9" fontId="8" fillId="26" borderId="2" xfId="0" applyNumberFormat="1" applyFont="1" applyFill="1" applyBorder="1" applyAlignment="1">
      <alignment horizontal="center" vertical="center" wrapText="1"/>
    </xf>
    <xf numFmtId="9" fontId="8" fillId="26" borderId="23"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23"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6" fillId="13" borderId="23"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6" fillId="12" borderId="23"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2" borderId="0" xfId="0" applyFont="1" applyFill="1" applyBorder="1" applyAlignment="1">
      <alignment horizontal="center" vertical="center" wrapText="1"/>
    </xf>
    <xf numFmtId="0" fontId="6" fillId="12" borderId="24" xfId="0" applyFont="1" applyFill="1" applyBorder="1" applyAlignment="1">
      <alignment horizontal="center" vertical="center" wrapText="1"/>
    </xf>
    <xf numFmtId="0" fontId="6" fillId="12" borderId="4" xfId="0" applyFont="1" applyFill="1" applyBorder="1" applyAlignment="1">
      <alignment horizontal="center" vertical="center" wrapText="1"/>
    </xf>
    <xf numFmtId="0" fontId="6" fillId="12" borderId="5" xfId="0" applyFont="1" applyFill="1" applyBorder="1" applyAlignment="1">
      <alignment horizontal="center" vertical="center" wrapText="1"/>
    </xf>
    <xf numFmtId="0" fontId="6" fillId="12" borderId="25"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5" borderId="7"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4" fillId="4" borderId="33" xfId="0" applyFont="1" applyFill="1" applyBorder="1" applyAlignment="1">
      <alignment horizontal="center" vertical="center" wrapText="1"/>
    </xf>
    <xf numFmtId="0" fontId="14" fillId="4" borderId="34" xfId="0" applyFont="1" applyFill="1" applyBorder="1" applyAlignment="1">
      <alignment horizontal="center" vertical="center" wrapText="1"/>
    </xf>
    <xf numFmtId="0" fontId="14" fillId="7" borderId="26" xfId="0" applyFont="1" applyFill="1" applyBorder="1" applyAlignment="1">
      <alignment horizontal="center" vertical="center" wrapText="1"/>
    </xf>
    <xf numFmtId="0" fontId="14" fillId="7" borderId="32"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9" borderId="14" xfId="0" applyFont="1" applyFill="1" applyBorder="1" applyAlignment="1">
      <alignment horizontal="center" vertical="center" wrapText="1"/>
    </xf>
    <xf numFmtId="0" fontId="14" fillId="7" borderId="7"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14" fillId="9" borderId="18" xfId="0" applyFont="1" applyFill="1" applyBorder="1" applyAlignment="1">
      <alignment horizontal="center" vertical="center" wrapText="1"/>
    </xf>
    <xf numFmtId="0" fontId="14" fillId="9" borderId="15" xfId="0" applyFont="1" applyFill="1" applyBorder="1" applyAlignment="1">
      <alignment horizontal="center" vertical="center" wrapText="1"/>
    </xf>
    <xf numFmtId="0" fontId="14" fillId="10" borderId="12" xfId="0" applyFont="1" applyFill="1" applyBorder="1" applyAlignment="1">
      <alignment horizontal="center" vertical="center" wrapText="1"/>
    </xf>
    <xf numFmtId="0" fontId="14" fillId="10" borderId="14" xfId="0" applyFont="1" applyFill="1" applyBorder="1" applyAlignment="1">
      <alignment horizontal="center" vertical="center" wrapText="1"/>
    </xf>
    <xf numFmtId="0" fontId="14" fillId="11" borderId="33" xfId="0" applyFont="1" applyFill="1" applyBorder="1" applyAlignment="1">
      <alignment horizontal="center" vertical="center" wrapText="1"/>
    </xf>
    <xf numFmtId="0" fontId="14" fillId="11" borderId="34" xfId="0" applyFont="1" applyFill="1" applyBorder="1" applyAlignment="1">
      <alignment horizontal="center" vertical="center" wrapText="1"/>
    </xf>
    <xf numFmtId="0" fontId="6" fillId="28" borderId="26" xfId="0" applyFont="1" applyFill="1" applyBorder="1" applyAlignment="1">
      <alignment horizontal="center" vertical="center" wrapText="1"/>
    </xf>
    <xf numFmtId="0" fontId="6" fillId="28" borderId="29" xfId="0" applyFont="1" applyFill="1" applyBorder="1" applyAlignment="1">
      <alignment horizontal="center" vertical="center" wrapText="1"/>
    </xf>
    <xf numFmtId="9" fontId="8" fillId="26" borderId="3" xfId="0" applyNumberFormat="1" applyFont="1" applyFill="1" applyBorder="1" applyAlignment="1">
      <alignment horizontal="center" vertical="center" wrapText="1"/>
    </xf>
    <xf numFmtId="9" fontId="8" fillId="26" borderId="0" xfId="0" applyNumberFormat="1" applyFont="1" applyFill="1" applyBorder="1" applyAlignment="1">
      <alignment horizontal="center" vertical="center" wrapText="1"/>
    </xf>
    <xf numFmtId="9" fontId="8" fillId="26" borderId="24" xfId="0" applyNumberFormat="1" applyFont="1" applyFill="1" applyBorder="1" applyAlignment="1">
      <alignment horizontal="center" vertical="center" wrapText="1"/>
    </xf>
    <xf numFmtId="0" fontId="8" fillId="0" borderId="5"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37" xfId="0" applyFont="1" applyBorder="1" applyAlignment="1">
      <alignment horizontal="center" vertical="center" wrapText="1"/>
    </xf>
    <xf numFmtId="0" fontId="7" fillId="26" borderId="37" xfId="0" applyFont="1" applyFill="1" applyBorder="1" applyAlignment="1">
      <alignment horizontal="left" vertical="center" wrapText="1"/>
    </xf>
    <xf numFmtId="0" fontId="7" fillId="26" borderId="36" xfId="0" applyFont="1" applyFill="1" applyBorder="1" applyAlignment="1">
      <alignment horizontal="left" vertical="center" wrapText="1"/>
    </xf>
    <xf numFmtId="0" fontId="6" fillId="3" borderId="3" xfId="0" applyFont="1" applyFill="1" applyBorder="1" applyAlignment="1">
      <alignment horizontal="center" vertical="center" wrapText="1"/>
    </xf>
    <xf numFmtId="0" fontId="6" fillId="3" borderId="0"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9" xfId="0" applyFont="1" applyFill="1" applyBorder="1" applyAlignment="1">
      <alignment horizontal="center" vertical="center" wrapText="1"/>
    </xf>
    <xf numFmtId="0" fontId="12" fillId="16" borderId="9" xfId="0" applyFont="1" applyFill="1" applyBorder="1" applyAlignment="1">
      <alignment horizontal="center" vertical="center" wrapText="1"/>
    </xf>
    <xf numFmtId="0" fontId="12" fillId="16" borderId="11" xfId="0" applyFont="1" applyFill="1" applyBorder="1" applyAlignment="1">
      <alignment horizontal="center" vertical="center" wrapText="1"/>
    </xf>
    <xf numFmtId="0" fontId="12" fillId="10" borderId="26" xfId="0" applyFont="1" applyFill="1" applyBorder="1" applyAlignment="1">
      <alignment horizontal="center" vertical="center" wrapText="1"/>
    </xf>
    <xf numFmtId="0" fontId="12" fillId="10" borderId="29" xfId="0" applyFont="1" applyFill="1" applyBorder="1" applyAlignment="1">
      <alignment horizontal="center" vertical="center" wrapText="1"/>
    </xf>
    <xf numFmtId="165" fontId="12" fillId="11" borderId="26" xfId="0" applyNumberFormat="1" applyFont="1" applyFill="1" applyBorder="1" applyAlignment="1">
      <alignment horizontal="center" vertical="center" wrapText="1"/>
    </xf>
    <xf numFmtId="165" fontId="12" fillId="11" borderId="29" xfId="0" applyNumberFormat="1" applyFont="1" applyFill="1" applyBorder="1" applyAlignment="1">
      <alignment horizontal="center" vertical="center" wrapText="1"/>
    </xf>
    <xf numFmtId="0" fontId="12" fillId="20" borderId="26" xfId="0" applyFont="1" applyFill="1" applyBorder="1" applyAlignment="1">
      <alignment horizontal="center" vertical="center" wrapText="1"/>
    </xf>
    <xf numFmtId="0" fontId="12" fillId="20" borderId="29" xfId="0" applyFont="1" applyFill="1" applyBorder="1" applyAlignment="1">
      <alignment horizontal="center" vertical="center" wrapText="1"/>
    </xf>
    <xf numFmtId="0" fontId="12" fillId="21" borderId="9" xfId="0" applyFont="1" applyFill="1" applyBorder="1" applyAlignment="1">
      <alignment horizontal="center" vertical="center" wrapText="1"/>
    </xf>
    <xf numFmtId="0" fontId="12" fillId="21" borderId="10" xfId="0" applyFont="1" applyFill="1" applyBorder="1" applyAlignment="1">
      <alignment horizontal="center" vertical="center" wrapText="1"/>
    </xf>
    <xf numFmtId="0" fontId="12" fillId="21" borderId="11"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2" fillId="9" borderId="0" xfId="0" applyFont="1" applyFill="1" applyBorder="1" applyAlignment="1">
      <alignment horizontal="center" vertical="center" wrapText="1"/>
    </xf>
    <xf numFmtId="0" fontId="6" fillId="8" borderId="26" xfId="0" applyFont="1" applyFill="1" applyBorder="1" applyAlignment="1">
      <alignment horizontal="center" vertical="center" wrapText="1"/>
    </xf>
    <xf numFmtId="0" fontId="6" fillId="8" borderId="29" xfId="0" applyFont="1" applyFill="1" applyBorder="1" applyAlignment="1">
      <alignment horizontal="center" vertical="center" wrapText="1"/>
    </xf>
    <xf numFmtId="0" fontId="6" fillId="23" borderId="23" xfId="0" applyFont="1" applyFill="1" applyBorder="1" applyAlignment="1">
      <alignment horizontal="center" vertical="center" wrapText="1"/>
    </xf>
    <xf numFmtId="0" fontId="6" fillId="23" borderId="24" xfId="0" applyFont="1" applyFill="1" applyBorder="1" applyAlignment="1">
      <alignment horizontal="center" vertical="center" wrapText="1"/>
    </xf>
    <xf numFmtId="0" fontId="8" fillId="26" borderId="19" xfId="0" applyFont="1" applyFill="1" applyBorder="1" applyAlignment="1">
      <alignment horizontal="center" vertical="center" wrapText="1"/>
    </xf>
    <xf numFmtId="0" fontId="8" fillId="26" borderId="22" xfId="0" applyFont="1" applyFill="1" applyBorder="1" applyAlignment="1">
      <alignment horizontal="center" vertical="center" wrapText="1"/>
    </xf>
    <xf numFmtId="0" fontId="8" fillId="26" borderId="40" xfId="0" applyFont="1" applyFill="1" applyBorder="1" applyAlignment="1">
      <alignment horizontal="center" vertical="center" wrapText="1"/>
    </xf>
    <xf numFmtId="0" fontId="16" fillId="30" borderId="4" xfId="0" applyFont="1" applyFill="1" applyBorder="1" applyAlignment="1">
      <alignment horizontal="right" vertical="center" wrapText="1"/>
    </xf>
    <xf numFmtId="0" fontId="16" fillId="30" borderId="5" xfId="0" applyFont="1" applyFill="1" applyBorder="1" applyAlignment="1">
      <alignment horizontal="right" vertical="center" wrapText="1"/>
    </xf>
    <xf numFmtId="0" fontId="16" fillId="30" borderId="25" xfId="0" applyFont="1" applyFill="1" applyBorder="1" applyAlignment="1">
      <alignment horizontal="right" vertical="center" wrapText="1"/>
    </xf>
    <xf numFmtId="0" fontId="12" fillId="21" borderId="1" xfId="0" applyFont="1" applyFill="1" applyBorder="1" applyAlignment="1">
      <alignment horizontal="center" vertical="center" wrapText="1"/>
    </xf>
    <xf numFmtId="0" fontId="12" fillId="21" borderId="23"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12" fillId="19" borderId="2" xfId="0" applyFont="1" applyFill="1" applyBorder="1" applyAlignment="1">
      <alignment horizontal="center" vertical="center" wrapText="1"/>
    </xf>
    <xf numFmtId="0" fontId="6" fillId="19" borderId="26" xfId="0" applyFont="1" applyFill="1" applyBorder="1" applyAlignment="1">
      <alignment horizontal="center" vertical="center" wrapText="1"/>
    </xf>
    <xf numFmtId="0" fontId="6" fillId="19" borderId="24" xfId="0" applyFont="1" applyFill="1" applyBorder="1" applyAlignment="1">
      <alignment horizontal="center" vertical="center" wrapText="1"/>
    </xf>
    <xf numFmtId="0" fontId="12" fillId="15" borderId="27" xfId="0" applyFont="1" applyFill="1" applyBorder="1" applyAlignment="1">
      <alignment horizontal="center" vertical="center" wrapText="1"/>
    </xf>
    <xf numFmtId="0" fontId="12" fillId="15" borderId="21" xfId="0" applyFont="1" applyFill="1" applyBorder="1" applyAlignment="1">
      <alignment horizontal="center" vertical="center" wrapText="1"/>
    </xf>
    <xf numFmtId="0" fontId="8" fillId="26" borderId="8" xfId="0" applyFont="1" applyFill="1" applyBorder="1" applyAlignment="1">
      <alignment horizontal="left" vertical="center" wrapText="1"/>
    </xf>
    <xf numFmtId="0" fontId="8" fillId="26" borderId="8" xfId="0" applyFont="1" applyFill="1" applyBorder="1" applyAlignment="1">
      <alignment horizontal="left" vertical="center"/>
    </xf>
    <xf numFmtId="0" fontId="8" fillId="26" borderId="34" xfId="0" applyFont="1" applyFill="1" applyBorder="1" applyAlignment="1">
      <alignment horizontal="left" vertical="center"/>
    </xf>
    <xf numFmtId="0" fontId="8" fillId="26" borderId="37" xfId="0" applyFont="1" applyFill="1" applyBorder="1" applyAlignment="1">
      <alignment horizontal="left" vertical="center" wrapText="1"/>
    </xf>
    <xf numFmtId="0" fontId="8" fillId="26" borderId="37" xfId="0" applyFont="1" applyFill="1" applyBorder="1" applyAlignment="1">
      <alignment horizontal="left" vertical="center"/>
    </xf>
    <xf numFmtId="0" fontId="8" fillId="26" borderId="36" xfId="0" applyFont="1" applyFill="1" applyBorder="1" applyAlignment="1">
      <alignment horizontal="left" vertical="center"/>
    </xf>
    <xf numFmtId="0" fontId="8" fillId="26" borderId="7" xfId="0" applyFont="1" applyFill="1" applyBorder="1" applyAlignment="1">
      <alignment horizontal="left" vertical="center"/>
    </xf>
    <xf numFmtId="0" fontId="8" fillId="26" borderId="33" xfId="0" applyFont="1" applyFill="1" applyBorder="1" applyAlignment="1">
      <alignment horizontal="left" vertical="center"/>
    </xf>
    <xf numFmtId="0" fontId="8" fillId="26" borderId="7"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9" fillId="19" borderId="12" xfId="0" applyFont="1" applyFill="1" applyBorder="1" applyAlignment="1">
      <alignment horizontal="center" vertical="center" wrapText="1"/>
    </xf>
    <xf numFmtId="0" fontId="9" fillId="19" borderId="13"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7" xfId="0" applyFont="1" applyFill="1" applyBorder="1" applyAlignment="1">
      <alignment horizontal="center" vertical="center" wrapText="1"/>
    </xf>
    <xf numFmtId="0" fontId="9" fillId="16" borderId="12" xfId="0" applyFont="1" applyFill="1" applyBorder="1" applyAlignment="1">
      <alignment horizontal="center" vertical="center" wrapText="1"/>
    </xf>
    <xf numFmtId="0" fontId="9" fillId="16" borderId="14" xfId="0" applyFont="1" applyFill="1" applyBorder="1" applyAlignment="1">
      <alignment horizontal="center" vertical="center" wrapText="1"/>
    </xf>
    <xf numFmtId="0" fontId="9" fillId="21" borderId="12" xfId="0" applyFont="1" applyFill="1" applyBorder="1" applyAlignment="1">
      <alignment horizontal="center" vertical="center" wrapText="1"/>
    </xf>
    <xf numFmtId="0" fontId="9" fillId="21" borderId="14" xfId="0" applyFont="1" applyFill="1" applyBorder="1" applyAlignment="1">
      <alignment horizontal="center" vertical="center" wrapText="1"/>
    </xf>
    <xf numFmtId="0" fontId="5" fillId="8" borderId="35" xfId="0" applyFont="1" applyFill="1" applyBorder="1" applyAlignment="1">
      <alignment horizontal="center" vertical="center" wrapText="1"/>
    </xf>
    <xf numFmtId="0" fontId="5" fillId="8" borderId="37" xfId="0" applyFont="1" applyFill="1" applyBorder="1" applyAlignment="1">
      <alignment horizontal="center" vertical="center" wrapText="1"/>
    </xf>
    <xf numFmtId="0" fontId="5" fillId="12" borderId="12" xfId="0" applyFont="1" applyFill="1" applyBorder="1" applyAlignment="1">
      <alignment horizontal="center" vertical="center" wrapText="1"/>
    </xf>
    <xf numFmtId="0" fontId="5" fillId="12" borderId="14" xfId="0" applyFont="1" applyFill="1" applyBorder="1" applyAlignment="1">
      <alignment horizontal="center" vertical="center" wrapText="1"/>
    </xf>
    <xf numFmtId="0" fontId="8" fillId="10" borderId="12" xfId="0" applyFont="1" applyFill="1" applyBorder="1" applyAlignment="1">
      <alignment horizontal="center" vertical="center" wrapText="1"/>
    </xf>
    <xf numFmtId="0" fontId="8" fillId="10" borderId="7" xfId="0" applyFont="1" applyFill="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5" fillId="23" borderId="35" xfId="0" applyFont="1" applyFill="1" applyBorder="1" applyAlignment="1">
      <alignment horizontal="center" vertical="center" wrapText="1"/>
    </xf>
    <xf numFmtId="0" fontId="5" fillId="23" borderId="37" xfId="0" applyFont="1" applyFill="1" applyBorder="1" applyAlignment="1">
      <alignment horizontal="center" vertical="center" wrapText="1"/>
    </xf>
    <xf numFmtId="0" fontId="5" fillId="28" borderId="35" xfId="0" applyFont="1" applyFill="1" applyBorder="1" applyAlignment="1">
      <alignment horizontal="center" vertical="center" wrapText="1"/>
    </xf>
    <xf numFmtId="0" fontId="5" fillId="28" borderId="37"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13" borderId="12" xfId="0" applyFont="1" applyFill="1" applyBorder="1" applyAlignment="1">
      <alignment horizontal="center" vertical="center" wrapText="1"/>
    </xf>
    <xf numFmtId="0" fontId="5" fillId="13" borderId="14" xfId="0" applyFont="1" applyFill="1" applyBorder="1" applyAlignment="1">
      <alignment horizontal="center" vertical="center" wrapText="1"/>
    </xf>
    <xf numFmtId="0" fontId="5" fillId="12" borderId="9" xfId="0" applyFont="1" applyFill="1" applyBorder="1" applyAlignment="1">
      <alignment horizontal="center" vertical="center" wrapText="1"/>
    </xf>
    <xf numFmtId="0" fontId="5" fillId="12" borderId="11" xfId="0" applyFont="1" applyFill="1" applyBorder="1" applyAlignment="1">
      <alignment horizontal="center" vertical="center" wrapText="1"/>
    </xf>
    <xf numFmtId="0" fontId="13" fillId="24" borderId="35" xfId="0" applyFont="1" applyFill="1" applyBorder="1" applyAlignment="1">
      <alignment horizontal="center" vertical="center" wrapText="1"/>
    </xf>
    <xf numFmtId="0" fontId="13" fillId="24" borderId="37" xfId="0" applyFont="1" applyFill="1" applyBorder="1" applyAlignment="1">
      <alignment horizontal="center" vertical="center" wrapText="1"/>
    </xf>
    <xf numFmtId="0" fontId="8" fillId="26" borderId="19" xfId="0" applyFont="1" applyFill="1" applyBorder="1" applyAlignment="1">
      <alignment horizontal="left" vertical="center" wrapText="1"/>
    </xf>
    <xf numFmtId="0" fontId="8" fillId="26" borderId="39" xfId="0" applyFont="1" applyFill="1" applyBorder="1" applyAlignment="1">
      <alignment horizontal="left" vertical="center" wrapText="1"/>
    </xf>
    <xf numFmtId="0" fontId="8" fillId="26" borderId="22" xfId="0" applyFont="1" applyFill="1" applyBorder="1" applyAlignment="1">
      <alignment horizontal="left" vertical="center" wrapText="1"/>
    </xf>
    <xf numFmtId="0" fontId="8" fillId="26" borderId="6" xfId="0" applyFont="1" applyFill="1" applyBorder="1" applyAlignment="1">
      <alignment horizontal="left" vertical="center"/>
    </xf>
    <xf numFmtId="0" fontId="8" fillId="26" borderId="42" xfId="0" applyFont="1" applyFill="1" applyBorder="1" applyAlignment="1">
      <alignment horizontal="left" vertical="center"/>
    </xf>
    <xf numFmtId="0" fontId="8" fillId="11" borderId="14"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9" fillId="20" borderId="35" xfId="0" applyFont="1" applyFill="1" applyBorder="1" applyAlignment="1">
      <alignment horizontal="center" vertical="center" wrapText="1"/>
    </xf>
    <xf numFmtId="0" fontId="9" fillId="20" borderId="37" xfId="0" applyFont="1" applyFill="1" applyBorder="1" applyAlignment="1">
      <alignment horizontal="center" vertical="center" wrapText="1"/>
    </xf>
    <xf numFmtId="0" fontId="8" fillId="26" borderId="33" xfId="0" applyFont="1" applyFill="1" applyBorder="1" applyAlignment="1">
      <alignment horizontal="left" vertical="center" wrapText="1"/>
    </xf>
    <xf numFmtId="0" fontId="8" fillId="26" borderId="6" xfId="0" applyFont="1" applyFill="1" applyBorder="1" applyAlignment="1">
      <alignment horizontal="left" vertical="center" wrapText="1"/>
    </xf>
    <xf numFmtId="0" fontId="8" fillId="26" borderId="42" xfId="0" applyFont="1" applyFill="1" applyBorder="1" applyAlignment="1">
      <alignment horizontal="left" vertical="center" wrapText="1"/>
    </xf>
    <xf numFmtId="0" fontId="9" fillId="21" borderId="13" xfId="0" applyFont="1" applyFill="1" applyBorder="1" applyAlignment="1">
      <alignment horizontal="center" vertical="center" wrapText="1"/>
    </xf>
    <xf numFmtId="0" fontId="9" fillId="9" borderId="35" xfId="0" applyFont="1" applyFill="1" applyBorder="1" applyAlignment="1">
      <alignment horizontal="center" vertical="center" wrapText="1"/>
    </xf>
    <xf numFmtId="0" fontId="9" fillId="9" borderId="37" xfId="0" applyFont="1" applyFill="1" applyBorder="1" applyAlignment="1">
      <alignment horizontal="center" vertical="center" wrapText="1"/>
    </xf>
    <xf numFmtId="0" fontId="8" fillId="26" borderId="34" xfId="0" applyFont="1" applyFill="1" applyBorder="1" applyAlignment="1">
      <alignment horizontal="left" vertical="center" wrapText="1"/>
    </xf>
    <xf numFmtId="0" fontId="7" fillId="26" borderId="28" xfId="0" applyFont="1" applyFill="1" applyBorder="1" applyAlignment="1">
      <alignment horizontal="left" vertical="center" wrapText="1"/>
    </xf>
    <xf numFmtId="0" fontId="7" fillId="26" borderId="21" xfId="0" applyFont="1" applyFill="1" applyBorder="1" applyAlignment="1">
      <alignment horizontal="left" vertical="center" wrapText="1"/>
    </xf>
    <xf numFmtId="0" fontId="7" fillId="26" borderId="39" xfId="0" applyFont="1" applyFill="1" applyBorder="1" applyAlignment="1">
      <alignment horizontal="left" vertical="center" wrapText="1"/>
    </xf>
    <xf numFmtId="0" fontId="7" fillId="26" borderId="22" xfId="0" applyFont="1" applyFill="1" applyBorder="1" applyAlignment="1">
      <alignment horizontal="left" vertical="center" wrapText="1"/>
    </xf>
    <xf numFmtId="0" fontId="7" fillId="26" borderId="41" xfId="0" applyFont="1" applyFill="1" applyBorder="1" applyAlignment="1">
      <alignment horizontal="left" vertical="center" wrapText="1"/>
    </xf>
    <xf numFmtId="0" fontId="7" fillId="26" borderId="17" xfId="0" applyFont="1" applyFill="1" applyBorder="1" applyAlignment="1">
      <alignment horizontal="left" vertical="center" wrapText="1"/>
    </xf>
    <xf numFmtId="0" fontId="15" fillId="26" borderId="7" xfId="0" applyFont="1" applyFill="1" applyBorder="1" applyAlignment="1">
      <alignment horizontal="left" vertical="center" wrapText="1"/>
    </xf>
    <xf numFmtId="0" fontId="15" fillId="26" borderId="33" xfId="0" applyFont="1" applyFill="1" applyBorder="1" applyAlignment="1">
      <alignment horizontal="left" vertical="center" wrapText="1"/>
    </xf>
    <xf numFmtId="0" fontId="15" fillId="26" borderId="37" xfId="0" applyFont="1" applyFill="1" applyBorder="1" applyAlignment="1">
      <alignment horizontal="left" vertical="center" wrapText="1"/>
    </xf>
    <xf numFmtId="0" fontId="0" fillId="0" borderId="6" xfId="0" applyBorder="1" applyAlignment="1">
      <alignment horizontal="center" vertical="center" wrapText="1"/>
    </xf>
    <xf numFmtId="0" fontId="8" fillId="26" borderId="31" xfId="0" applyFont="1" applyFill="1" applyBorder="1" applyAlignment="1">
      <alignment horizontal="left" vertical="center" wrapText="1"/>
    </xf>
    <xf numFmtId="0" fontId="8" fillId="26" borderId="10" xfId="0" applyFont="1" applyFill="1" applyBorder="1" applyAlignment="1">
      <alignment horizontal="left" vertical="center" wrapText="1"/>
    </xf>
    <xf numFmtId="0" fontId="8" fillId="26" borderId="11" xfId="0" applyFont="1" applyFill="1" applyBorder="1" applyAlignment="1">
      <alignment horizontal="left" vertical="center" wrapText="1"/>
    </xf>
    <xf numFmtId="0" fontId="36" fillId="21" borderId="1" xfId="0" applyFont="1" applyFill="1" applyBorder="1" applyAlignment="1">
      <alignment horizontal="center" vertical="center" wrapText="1"/>
    </xf>
    <xf numFmtId="0" fontId="36" fillId="21" borderId="2" xfId="0" applyFont="1" applyFill="1" applyBorder="1" applyAlignment="1">
      <alignment horizontal="center" vertical="center" wrapText="1"/>
    </xf>
    <xf numFmtId="0" fontId="36" fillId="21" borderId="23" xfId="0" applyFont="1" applyFill="1" applyBorder="1" applyAlignment="1">
      <alignment horizontal="center" vertical="center" wrapText="1"/>
    </xf>
    <xf numFmtId="9" fontId="8" fillId="26" borderId="61" xfId="0" applyNumberFormat="1" applyFont="1" applyFill="1" applyBorder="1" applyAlignment="1">
      <alignment horizontal="center" vertical="center" wrapText="1"/>
    </xf>
    <xf numFmtId="9" fontId="8" fillId="26" borderId="62" xfId="0" applyNumberFormat="1" applyFont="1" applyFill="1" applyBorder="1" applyAlignment="1">
      <alignment horizontal="center" vertical="center" wrapText="1"/>
    </xf>
    <xf numFmtId="9" fontId="8" fillId="26" borderId="63" xfId="0" applyNumberFormat="1" applyFont="1" applyFill="1" applyBorder="1" applyAlignment="1">
      <alignment horizontal="center" vertical="center" wrapText="1"/>
    </xf>
    <xf numFmtId="0" fontId="8" fillId="0" borderId="61" xfId="0" applyFont="1" applyBorder="1" applyAlignment="1">
      <alignment horizontal="center" vertical="center" wrapText="1"/>
    </xf>
    <xf numFmtId="0" fontId="8" fillId="26" borderId="62" xfId="0" applyFont="1" applyFill="1" applyBorder="1" applyAlignment="1">
      <alignment horizontal="center" vertical="center" wrapText="1"/>
    </xf>
    <xf numFmtId="20" fontId="8" fillId="26" borderId="62" xfId="0" applyNumberFormat="1" applyFont="1" applyFill="1" applyBorder="1" applyAlignment="1">
      <alignment horizontal="center" vertical="center" wrapText="1"/>
    </xf>
    <xf numFmtId="0" fontId="8" fillId="0" borderId="40" xfId="0" applyFont="1" applyBorder="1" applyAlignment="1">
      <alignment horizontal="center" vertical="center" wrapText="1"/>
    </xf>
    <xf numFmtId="0" fontId="8" fillId="26" borderId="39" xfId="0" applyFont="1" applyFill="1" applyBorder="1" applyAlignment="1">
      <alignment horizontal="center" vertical="center" wrapText="1"/>
    </xf>
    <xf numFmtId="20" fontId="8" fillId="26" borderId="39" xfId="0" applyNumberFormat="1" applyFont="1" applyFill="1" applyBorder="1" applyAlignment="1">
      <alignment horizontal="center" vertical="center" wrapText="1"/>
    </xf>
    <xf numFmtId="164" fontId="8" fillId="26" borderId="61" xfId="0" applyNumberFormat="1" applyFont="1" applyFill="1" applyBorder="1" applyAlignment="1">
      <alignment horizontal="center" vertical="center" wrapText="1"/>
    </xf>
    <xf numFmtId="164" fontId="8" fillId="26" borderId="62" xfId="0" applyNumberFormat="1" applyFont="1" applyFill="1" applyBorder="1" applyAlignment="1">
      <alignment horizontal="center" vertical="center" wrapText="1"/>
    </xf>
    <xf numFmtId="164" fontId="8" fillId="26" borderId="40" xfId="0" applyNumberFormat="1" applyFont="1" applyFill="1" applyBorder="1" applyAlignment="1">
      <alignment horizontal="center" vertical="center" wrapText="1"/>
    </xf>
    <xf numFmtId="164" fontId="8" fillId="26" borderId="39" xfId="0" applyNumberFormat="1" applyFont="1" applyFill="1" applyBorder="1" applyAlignment="1">
      <alignment horizontal="center" vertical="center" wrapText="1"/>
    </xf>
    <xf numFmtId="165" fontId="8" fillId="26" borderId="39" xfId="0" applyNumberFormat="1" applyFont="1" applyFill="1" applyBorder="1" applyAlignment="1">
      <alignment horizontal="center" vertical="center" wrapText="1"/>
    </xf>
    <xf numFmtId="9" fontId="8" fillId="26" borderId="40" xfId="0" applyNumberFormat="1" applyFont="1" applyFill="1" applyBorder="1" applyAlignment="1">
      <alignment horizontal="center" vertical="center" wrapText="1"/>
    </xf>
    <xf numFmtId="9" fontId="8" fillId="26" borderId="39" xfId="0" applyNumberFormat="1" applyFont="1" applyFill="1" applyBorder="1" applyAlignment="1">
      <alignment horizontal="center" vertical="center" wrapText="1"/>
    </xf>
    <xf numFmtId="9" fontId="8" fillId="26" borderId="22" xfId="0" applyNumberFormat="1" applyFont="1" applyFill="1" applyBorder="1" applyAlignment="1">
      <alignment horizontal="center" vertical="center" wrapText="1"/>
    </xf>
    <xf numFmtId="165" fontId="8" fillId="26" borderId="62" xfId="0" applyNumberFormat="1" applyFont="1" applyFill="1" applyBorder="1" applyAlignment="1">
      <alignment horizontal="center" vertical="center" wrapText="1"/>
    </xf>
    <xf numFmtId="0" fontId="8" fillId="26" borderId="62" xfId="0" applyFont="1" applyFill="1" applyBorder="1" applyAlignment="1">
      <alignment horizontal="center" vertical="center" wrapText="1"/>
    </xf>
    <xf numFmtId="164" fontId="8" fillId="26" borderId="61" xfId="0" applyNumberFormat="1" applyFont="1" applyFill="1" applyBorder="1" applyAlignment="1">
      <alignment horizontal="center" vertical="center" wrapText="1"/>
    </xf>
    <xf numFmtId="165" fontId="8" fillId="26" borderId="63" xfId="0" applyNumberFormat="1" applyFont="1" applyFill="1" applyBorder="1" applyAlignment="1">
      <alignment horizontal="center" vertical="center" wrapText="1"/>
    </xf>
    <xf numFmtId="0" fontId="8" fillId="0" borderId="61" xfId="0" applyFont="1" applyBorder="1" applyAlignment="1">
      <alignment horizontal="center" vertical="center" wrapText="1"/>
    </xf>
    <xf numFmtId="0" fontId="8" fillId="0" borderId="3" xfId="0" applyFont="1" applyBorder="1" applyAlignment="1">
      <alignment horizontal="center" vertical="center" wrapText="1"/>
    </xf>
    <xf numFmtId="0" fontId="8" fillId="26" borderId="0" xfId="0" applyFont="1" applyFill="1" applyBorder="1" applyAlignment="1">
      <alignment horizontal="center" vertical="center" wrapText="1"/>
    </xf>
    <xf numFmtId="164" fontId="8" fillId="26" borderId="3" xfId="0" applyNumberFormat="1" applyFont="1" applyFill="1" applyBorder="1" applyAlignment="1">
      <alignment horizontal="center" vertical="center" wrapText="1"/>
    </xf>
    <xf numFmtId="165" fontId="8" fillId="26" borderId="24" xfId="0" applyNumberFormat="1" applyFont="1" applyFill="1" applyBorder="1" applyAlignment="1">
      <alignment horizontal="center" vertical="center" wrapText="1"/>
    </xf>
    <xf numFmtId="0" fontId="8" fillId="26" borderId="20" xfId="0" applyFont="1" applyFill="1" applyBorder="1" applyAlignment="1">
      <alignment horizontal="center"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object_interface">
        <xsd:complexType>
          <xsd:sequence minOccurs="0" maxOccurs="unbounded">
            <xsd:element minOccurs="0" maxOccurs="unbounded" nillable="true" name="params" form="unqualified">
              <xsd:complexType>
                <xsd:sequence minOccurs="0">
                  <xsd:element minOccurs="0" nillable="true" type="xsd:boolean" name="VisualiserEdition" form="unqualified"/>
                  <xsd:element minOccurs="0" nillable="true" type="xsd:boolean" name="ModeDebug" form="unqualified"/>
                  <xsd:element minOccurs="0" nillable="true" type="xsd:string" name="FichierXLSX" form="unqualified"/>
                </xsd:sequence>
              </xsd:complexType>
            </xsd:element>
            <xsd:element minOccurs="0" maxOccurs="unbounded" nillable="true" name="crew_schedule" form="unqualified">
              <xsd:complexType>
                <xsd:sequence minOccurs="0">
                  <xsd:element minOccurs="0" nillable="true" type="xsd:string" name="NomHab" form="unqualified"/>
                  <xsd:element minOccurs="0" nillable="true" type="xsd:integer" name="Scenario" form="unqualified"/>
                  <xsd:element minOccurs="0" nillable="true" type="xsd:integer" name="LigneInterne" form="unqualified"/>
                  <xsd:element minOccurs="0" nillable="true" type="xsd:string" name="V_Param" form="unqualified"/>
                  <xsd:element minOccurs="0" nillable="true" type="xsd:string" name="V_Regle" form="unqualified"/>
                  <xsd:element minOccurs="0" nillable="true" type="xsd:string" name="Depots" form="unqualified"/>
                  <xsd:element minOccurs="0" nillable="true" type="xsd:string" name="Contexte" form="unqualified"/>
                  <xsd:element minOccurs="0" nillable="true" type="xsd:string" name="TypeJournee" form="unqualified"/>
                </xsd:sequence>
              </xsd:complexType>
            </xsd:element>
            <xsd:element minOccurs="0" maxOccurs="unbounded" nillable="true" name="half_duty" form="unqualified">
              <xsd:complexType>
                <xsd:sequence minOccurs="0">
                  <xsd:element minOccurs="0" nillable="true" type="xsd:string" name="NomHab" form="unqualified"/>
                  <xsd:element minOccurs="0" nillable="true" type="xsd:integer" name="NumJourn" form="unqualified"/>
                  <xsd:element minOccurs="0" nillable="true" type="xsd:string" name="TypeJourn" form="unqualified"/>
                  <xsd:element minOccurs="0" nillable="true" type="xsd:integer" name="NumVac" form="unqualified"/>
                  <xsd:element minOccurs="0" nillable="true" type="xsd:string" name="Depots" form="unqualified"/>
                  <xsd:element minOccurs="0" nillable="true" type="xsd:string" name="LieuDebVac" form="unqualified"/>
                  <xsd:element minOccurs="0" nillable="true" type="xsd:string" name="Descr_Debut" form="unqualified"/>
                  <xsd:element minOccurs="0" nillable="true" type="xsd:string" name="LieuFinVac" form="unqualified"/>
                  <xsd:element minOccurs="0" nillable="true" type="xsd:string" name="Descr_Fin" form="unqualified"/>
                  <xsd:element minOccurs="0" nillable="true" type="xsd:string" name="HeureDebVac" form="unqualified"/>
                  <xsd:element minOccurs="0" nillable="true" type="xsd:string" name="HeureFinVac" form="unqualified"/>
                  <xsd:element minOccurs="0" nillable="true" type="xsd:double" name="DureeVac" form="unqualified"/>
                  <xsd:element minOccurs="0" nillable="true" type="xsd:double" name="TempsTravaille" form="unqualified"/>
                  <xsd:element minOccurs="0" nillable="true" type="xsd:double" name="DureeCoupure" form="unqualified"/>
                  <xsd:element minOccurs="0" nillable="true" type="xsd:double" name="Duree2vac" form="unqualified"/>
                  <xsd:element minOccurs="0" nillable="true" type="xsd:double" name="DureeRepas" form="unqualified"/>
                  <xsd:element minOccurs="0" nillable="true" type="xsd:double" name="DureeIndemn" form="unqualified"/>
                  <xsd:element minOccurs="0" nillable="true" type="xsd:double" name="DureeAmpli" form="unqualified"/>
                  <xsd:element minOccurs="0" nillable="true" type="xsd:string" name="DureeAchatTic" form="unqualified"/>
                  <xsd:element minOccurs="0" nillable="true" type="xsd:double" name="TC" form="unqualified"/>
                  <xsd:element minOccurs="0" nillable="true" type="xsd:integer" name="Prime2F" form="unqualified"/>
                  <xsd:element minOccurs="0" nillable="true" type="xsd:string" name="RepLigne" form="unqualified"/>
                  <xsd:element minOccurs="0" nillable="true" type="xsd:double" name="dty_extra_deadhead" form="unqualified"/>
                </xsd:sequence>
              </xsd:complexType>
            </xsd:element>
            <xsd:element minOccurs="0" nillable="true" name="crew_schedule_dep" form="unqualified">
              <xsd:complexType>
                <xsd:sequence minOccurs="0">
                  <xsd:element minOccurs="0" maxOccurs="unbounded" nillable="true" name="crew_base" form="unqualified">
                    <xsd:complexType>
                      <xsd:sequence minOccurs="0">
                        <xsd:element minOccurs="0" nillable="true" type="xsd:string" name="csc_name" form="unqualified"/>
                        <xsd:element minOccurs="0" maxOccurs="unbounded" nillable="true" type="xsd:string" name="cwb_identifier" form="unqualified"/>
                        <xsd:element minOccurs="0" nillable="true" type="xsd:string" name="cwb_description" form="unqualified"/>
                      </xsd:sequence>
                    </xsd:complexType>
                  </xsd:element>
                </xsd:sequence>
              </xsd:complexType>
            </xsd:element>
            <xsd:element minOccurs="0" maxOccurs="unbounded" nillable="true" name="duty" form="unqualified">
              <xsd:complexType>
                <xsd:sequence minOccurs="0">
                  <xsd:element minOccurs="0" nillable="true" type="xsd:string" name="csc_name" form="unqualified"/>
                  <xsd:element minOccurs="0" nillable="true" type="xsd:integer" name="dty_number" form="unqualified"/>
                  <xsd:element minOccurs="0" nillable="true" type="xsd:string" name="dty_crew_base" form="unqualified"/>
                  <xsd:element minOccurs="0" nillable="true" type="xsd:integer" name="dty_route" form="unqualified"/>
                  <xsd:element minOccurs="0" nillable="true" type="xsd:double" name="dty_dut_bonus" form="unqualified"/>
                  <xsd:element minOccurs="0" nillable="true" type="xsd:integer" name="dty_2f_bonus" form="unqualified"/>
                  <xsd:element minOccurs="0" nillable="true" type="xsd:string" name="dty_ticket" form="unqualified"/>
                  <xsd:element minOccurs="0" nillable="true" type="xsd:double" name="dty_working_time" form="unqualified"/>
                </xsd:sequence>
              </xsd:complexType>
            </xsd:element>
            <xsd:element minOccurs="0" maxOccurs="unbounded" nillable="true" name="coupure" form="unqualified">
              <xsd:complexType>
                <xsd:sequence minOccurs="0">
                  <xsd:element minOccurs="0" nillable="true" type="xsd:string" name="csc_name" form="unqualified"/>
                  <xsd:element minOccurs="0" nillable="true" type="xsd:integer" name="dty_number" form="unqualified"/>
                  <xsd:element minOccurs="0" nillable="true" type="xsd:double" name="DureeCoupure" form="unqualified"/>
                  <xsd:element minOccurs="0" nillable="true" type="xsd:double" name="Duree2vac" form="unqualified"/>
                  <xsd:element minOccurs="0" nillable="true" type="xsd:string" name="DureeRepas" form="unqualified"/>
                  <xsd:element minOccurs="0" nillable="true" type="xsd:string" name="DureeIndemn" form="unqualified"/>
                </xsd:sequence>
              </xsd:complexType>
            </xsd:element>
            <xsd:element minOccurs="0" maxOccurs="unbounded" nillable="true" name="crew_schedulee" form="unqualified">
              <xsd:complexType>
                <xsd:sequence minOccurs="0">
                  <xsd:element minOccurs="0" nillable="true" type="xsd:string" name="csc_name" form="unqualified"/>
                  <xsd:element minOccurs="0" nillable="true" type="xsd:integer" name="csc_scenario" form="unqualified"/>
                  <xsd:element minOccurs="0" nillable="true" type="xsd:string" name="csc_sched_type" form="unqualified"/>
                  <xsd:element minOccurs="0" maxOccurs="unbounded" nillable="true" name="duty_activity" form="unqualified">
                    <xsd:complexType>
                      <xsd:sequence minOccurs="0">
                        <xsd:element minOccurs="0" nillable="true" type="xsd:string" name="cwb_identifier" form="unqualified"/>
                        <xsd:element minOccurs="0" nillable="true" type="xsd:string" name="cwb_description" form="unqualified"/>
                        <xsd:element minOccurs="0" nillable="true" type="xsd:string" name="dty_act_start_place" form="unqualified"/>
                        <xsd:element minOccurs="0" nillable="true" type="xsd:string" name="dty_act_end_place" form="unqualified"/>
                        <xsd:element minOccurs="0" nillable="true" type="xsd:string" name="dty_act_activity" form="unqualified"/>
                        <xsd:element minOccurs="0" nillable="true" type="xsd:string" name="dty_act_name" form="unqualified"/>
                        <xsd:element minOccurs="0" nillable="true" type="xsd:double" name="dty_act_duration" form="unqualified"/>
                      </xsd:sequence>
                    </xsd:complexType>
                  </xsd:element>
                </xsd:sequence>
              </xsd:complexType>
            </xsd:element>
            <xsd:element minOccurs="0" maxOccurs="unbounded" nillable="true" name="c_schedule" form="unqualified">
              <xsd:complexType>
                <xsd:sequence minOccurs="0">
                  <xsd:element minOccurs="0" nillable="true" type="xsd:string" name="NomHab" form="unqualified"/>
                  <xsd:element minOccurs="0" nillable="true" type="xsd:string" name="TypeHab" form="unqualified"/>
                  <xsd:element minOccurs="0" nillable="true" type="xsd:integer" name="Scenario" form="unqualified"/>
                  <xsd:element minOccurs="0" maxOccurs="unbounded" nillable="true" name="depot" form="unqualified">
                    <xsd:complexType>
                      <xsd:sequence minOccurs="0">
                        <xsd:element minOccurs="0" nillable="true" type="xsd:string" name="DepotsVoiture" form="unqualified"/>
                        <xsd:element minOccurs="0" nillable="true" type="xsd:string" name="DepotsVoitDes" form="unqualified"/>
                        <xsd:element minOccurs="0" nillable="true" type="xsd:integer" name="Sorties" form="unqualified"/>
                        <xsd:element minOccurs="0" nillable="true" type="xsd:string" name="Motorisation" form="unqualified"/>
                        <xsd:element minOccurs="0" nillable="true" type="xsd:integer" name="PtAM" form="unqualified"/>
                        <xsd:element minOccurs="0" nillable="true" type="xsd:integer" name="PtPM" form="unqualified"/>
                        <xsd:element minOccurs="0" nillable="true" type="xsd:integer" name="PtMax" form="unqualified"/>
                      </xsd:sequence>
                    </xsd:complexType>
                  </xsd:element>
                </xsd:sequence>
              </xsd:complexType>
            </xsd:element>
            <xsd:element minOccurs="0" nillable="true" name="TUV" form="unqualified">
              <xsd:complexType>
                <xsd:sequence minOccurs="0">
                  <xsd:element minOccurs="0" nillable="true" type="xsd:string" name="csc_name" form="unqualified"/>
                  <xsd:element minOccurs="0" maxOccurs="unbounded" nillable="true" name="block_activity" form="unqualified">
                    <xsd:complexType>
                      <xsd:sequence minOccurs="0">
                        <xsd:element minOccurs="0" nillable="true" type="xsd:string" name="ob_typeid" form="unqualified"/>
                        <xsd:element minOccurs="0" nillable="true" type="xsd:string" name="blk_garage" form="unqualified"/>
                        <xsd:element minOccurs="0" nillable="true" type="xsd:double" name="blkact_duration" form="unqualified"/>
                        <xsd:element minOccurs="0" nillable="true" type="xsd:double" name="blkact_end_actual_layover" form="unqualified"/>
                      </xsd:sequence>
                    </xsd:complexType>
                  </xsd:element>
                </xsd:sequence>
              </xsd:complexType>
            </xsd:element>
            <xsd:element minOccurs="0" maxOccurs="unbounded" nillable="true" name="lignes" form="unqualified">
              <xsd:complexType>
                <xsd:sequence minOccurs="0">
                  <xsd:element minOccurs="0" nillable="true" type="xsd:string" name="csc_name" form="unqualified"/>
                  <xsd:element minOccurs="0" nillable="true" name="route" form="unqualified">
                    <xsd:complexType>
                      <xsd:sequence minOccurs="0">
                        <xsd:element minOccurs="0" nillable="true" type="xsd:integer" name="rte_identifier" form="unqualified"/>
                        <xsd:element minOccurs="0" maxOccurs="unbounded" nillable="true" type="xsd:string" name="rte_nb_dut_by_cwb" form="unqualified"/>
                      </xsd:sequence>
                    </xsd:complexType>
                  </xsd:element>
                </xsd:sequence>
              </xsd:complexType>
            </xsd:element>
          </xsd:sequence>
        </xsd:complexType>
      </xsd:element>
    </xsd:schema>
  </Schema>
  <Map ID="48" Name="object_interface_oig" RootElement="object_interface" SchemaID="Schema1" ShowImportExportValidationErrors="false" AutoFit="true" Append="false" PreserveSortAFLayout="true" PreserveFormat="true">
    <DataBinding FileBinding="true" ConnectionID="7" DataBindingLoadMode="1"/>
  </Map>
</MapInfo>
</file>

<file path=xl/_rels/workbook.xml.rels><?xml version="1.0" encoding="UTF-8" standalone="yes"?>
<Relationships xmlns="http://schemas.openxmlformats.org/package/2006/relationships"><Relationship Id="rId8" Type="http://schemas.openxmlformats.org/officeDocument/2006/relationships/xmlMaps" Target="xmlMaps.xml"/><Relationship Id="rId13" Type="http://schemas.microsoft.com/office/2017/06/relationships/rdRichValueTypes" Target="richData/rdRichValueTypes.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5" Type="http://schemas.microsoft.com/office/2017/06/relationships/rdRichValue" Target="richData/rdrichvalue.xml"/><Relationship Id="rId4" Type="http://schemas.openxmlformats.org/officeDocument/2006/relationships/connections" Target="connections.xml"/><Relationship Id="rId14" Type="http://schemas.microsoft.com/office/2017/06/relationships/rdRichValueStructure" Target="richData/rdrichvaluestructure.xm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A1:T68"/>
  <sheetViews>
    <sheetView tabSelected="1" zoomScale="90" zoomScaleNormal="90" workbookViewId="0">
      <selection activeCell="G66" sqref="G66:H66"/>
    </sheetView>
  </sheetViews>
  <sheetFormatPr baseColWidth="10" defaultColWidth="11.44140625" defaultRowHeight="13.8"/>
  <cols>
    <col min="1" max="1" width="10.44140625" style="2" customWidth="1"/>
    <col min="2" max="2" width="11.44140625" style="2" customWidth="1"/>
    <col min="3" max="3" width="17" style="2" customWidth="1"/>
    <col min="4" max="4" width="10.109375" style="2" customWidth="1"/>
    <col min="5" max="5" width="16.88671875" style="2" customWidth="1"/>
    <col min="6" max="6" width="9.6640625" style="2" bestFit="1" customWidth="1"/>
    <col min="7" max="7" width="15.5546875" style="2" customWidth="1"/>
    <col min="8" max="8" width="11.6640625" style="2" customWidth="1"/>
    <col min="9" max="9" width="11.33203125" style="2" customWidth="1"/>
    <col min="10" max="10" width="12.33203125" style="2" customWidth="1"/>
    <col min="11" max="11" width="13" style="2" customWidth="1"/>
    <col min="12" max="12" width="15" style="2" customWidth="1"/>
    <col min="13" max="13" width="17" style="2" bestFit="1" customWidth="1"/>
    <col min="14" max="14" width="21.44140625" style="2" customWidth="1"/>
    <col min="15" max="19" width="11.44140625" style="2"/>
    <col min="20" max="20" width="17.88671875" style="2" customWidth="1"/>
    <col min="21" max="16384" width="11.44140625" style="28"/>
  </cols>
  <sheetData>
    <row r="1" spans="1:20" ht="14.4" thickBot="1">
      <c r="A1" s="75" t="s">
        <v>58</v>
      </c>
      <c r="B1" s="76"/>
      <c r="C1" s="76"/>
      <c r="D1" s="77">
        <v>58</v>
      </c>
      <c r="E1" s="78"/>
      <c r="F1" s="77" t="s">
        <v>62</v>
      </c>
      <c r="G1" s="77"/>
      <c r="H1" s="77" t="s">
        <v>94</v>
      </c>
      <c r="I1" s="79"/>
    </row>
    <row r="2" spans="1:20" ht="16.5" customHeight="1">
      <c r="A2" s="80" t="s">
        <v>60</v>
      </c>
      <c r="B2" s="81"/>
      <c r="C2" s="81"/>
      <c r="D2" s="82" t="s">
        <v>91</v>
      </c>
      <c r="E2" s="82"/>
      <c r="F2" s="83"/>
      <c r="G2" s="84"/>
      <c r="H2" s="83"/>
      <c r="I2" s="85"/>
    </row>
    <row r="3" spans="1:20" ht="15.75" customHeight="1">
      <c r="A3" s="86" t="s">
        <v>59</v>
      </c>
      <c r="B3" s="87"/>
      <c r="C3" s="87"/>
      <c r="D3" s="88" t="s">
        <v>95</v>
      </c>
      <c r="E3" s="88"/>
      <c r="F3" s="89"/>
      <c r="G3" s="90"/>
      <c r="H3" s="89"/>
      <c r="I3" s="91"/>
    </row>
    <row r="4" spans="1:20" ht="15.75" customHeight="1">
      <c r="A4" s="86" t="s">
        <v>61</v>
      </c>
      <c r="B4" s="87"/>
      <c r="C4" s="87"/>
      <c r="D4" s="88" t="s">
        <v>96</v>
      </c>
      <c r="E4" s="88"/>
      <c r="F4" s="89"/>
      <c r="G4" s="90"/>
      <c r="H4" s="89"/>
      <c r="I4" s="91"/>
    </row>
    <row r="5" spans="1:20" ht="16.5" customHeight="1">
      <c r="A5" s="86" t="s">
        <v>56</v>
      </c>
      <c r="B5" s="87"/>
      <c r="C5" s="87"/>
      <c r="D5" s="88" t="s">
        <v>92</v>
      </c>
      <c r="E5" s="88"/>
      <c r="F5" s="89"/>
      <c r="G5" s="90"/>
      <c r="H5" s="89"/>
      <c r="I5" s="91"/>
    </row>
    <row r="6" spans="1:20" ht="16.2" thickBot="1">
      <c r="A6" s="92" t="s">
        <v>57</v>
      </c>
      <c r="B6" s="93"/>
      <c r="C6" s="93"/>
      <c r="D6" s="94" t="s">
        <v>93</v>
      </c>
      <c r="E6" s="94"/>
      <c r="F6" s="95"/>
      <c r="G6" s="96"/>
      <c r="H6" s="95"/>
      <c r="I6" s="97"/>
    </row>
    <row r="7" spans="1:20" s="29" customFormat="1" ht="30" customHeight="1">
      <c r="A7" s="1"/>
      <c r="B7" s="1"/>
      <c r="C7" s="1"/>
      <c r="D7" s="1"/>
      <c r="E7" s="1"/>
      <c r="F7" s="1"/>
      <c r="G7" s="1"/>
      <c r="H7" s="1"/>
      <c r="I7" s="1"/>
      <c r="J7" s="1"/>
      <c r="K7" s="1"/>
      <c r="L7" s="1"/>
      <c r="M7" s="1"/>
      <c r="N7" s="1"/>
      <c r="O7" s="1"/>
      <c r="P7" s="1"/>
      <c r="Q7" s="2"/>
      <c r="R7" s="2"/>
      <c r="S7" s="2"/>
      <c r="T7" s="2"/>
    </row>
    <row r="8" spans="1:20" s="30" customFormat="1" ht="30" customHeight="1">
      <c r="A8" s="101" t="s">
        <v>0</v>
      </c>
      <c r="B8" s="102"/>
      <c r="C8" s="102"/>
      <c r="D8" s="102"/>
      <c r="E8" s="102"/>
      <c r="F8" s="102"/>
      <c r="G8" s="102"/>
      <c r="H8" s="102"/>
      <c r="I8" s="102"/>
      <c r="J8" s="102"/>
      <c r="K8" s="102"/>
      <c r="L8" s="102"/>
      <c r="M8" s="102"/>
      <c r="N8" s="102"/>
      <c r="O8" s="102"/>
      <c r="P8" s="102"/>
      <c r="Q8" s="102"/>
      <c r="R8" s="102"/>
      <c r="S8" s="102"/>
      <c r="T8" s="103"/>
    </row>
    <row r="9" spans="1:20" s="30" customFormat="1" ht="20.100000000000001" customHeight="1" thickBot="1">
      <c r="A9" s="4"/>
      <c r="B9" s="4"/>
      <c r="C9" s="4"/>
      <c r="D9" s="4"/>
      <c r="E9" s="4"/>
      <c r="F9" s="4"/>
      <c r="G9" s="4"/>
      <c r="H9" s="4"/>
      <c r="I9" s="4"/>
      <c r="J9" s="4"/>
      <c r="K9" s="4"/>
      <c r="L9" s="4"/>
      <c r="M9" s="4"/>
      <c r="N9" s="4"/>
      <c r="O9" s="4"/>
      <c r="P9" s="4"/>
      <c r="Q9" s="4"/>
      <c r="R9" s="4"/>
      <c r="S9" s="4"/>
      <c r="T9" s="4"/>
    </row>
    <row r="10" spans="1:20" s="31" customFormat="1" ht="26.25" customHeight="1" thickBot="1">
      <c r="A10" s="104" t="s">
        <v>10</v>
      </c>
      <c r="B10" s="105"/>
      <c r="C10" s="105"/>
      <c r="D10" s="105"/>
      <c r="E10" s="105"/>
      <c r="F10" s="106"/>
      <c r="G10" s="107" t="s">
        <v>11</v>
      </c>
      <c r="H10" s="108"/>
      <c r="I10" s="109"/>
      <c r="J10" s="109"/>
      <c r="K10" s="110"/>
      <c r="L10" s="111" t="s">
        <v>12</v>
      </c>
      <c r="M10" s="112"/>
      <c r="N10" s="113" t="s">
        <v>7</v>
      </c>
      <c r="O10" s="114"/>
      <c r="P10" s="115"/>
      <c r="Q10" s="7"/>
      <c r="R10" s="7"/>
      <c r="S10" s="7"/>
      <c r="T10" s="7"/>
    </row>
    <row r="11" spans="1:20" s="32" customFormat="1" ht="26.25" customHeight="1">
      <c r="A11" s="122" t="s">
        <v>9</v>
      </c>
      <c r="B11" s="123"/>
      <c r="C11" s="126" t="s">
        <v>1</v>
      </c>
      <c r="D11" s="126"/>
      <c r="E11" s="123" t="s">
        <v>2</v>
      </c>
      <c r="F11" s="128"/>
      <c r="G11" s="130" t="s">
        <v>3</v>
      </c>
      <c r="H11" s="132" t="s">
        <v>65</v>
      </c>
      <c r="I11" s="134" t="s">
        <v>5</v>
      </c>
      <c r="J11" s="136" t="s">
        <v>4</v>
      </c>
      <c r="K11" s="138" t="s">
        <v>8</v>
      </c>
      <c r="L11" s="140" t="s">
        <v>86</v>
      </c>
      <c r="M11" s="142" t="s">
        <v>6</v>
      </c>
      <c r="N11" s="116"/>
      <c r="O11" s="117"/>
      <c r="P11" s="118"/>
      <c r="Q11" s="6"/>
      <c r="R11" s="6"/>
      <c r="S11" s="6"/>
      <c r="T11" s="6"/>
    </row>
    <row r="12" spans="1:20" s="32" customFormat="1" ht="18.75" customHeight="1" thickBot="1">
      <c r="A12" s="124"/>
      <c r="B12" s="125"/>
      <c r="C12" s="127"/>
      <c r="D12" s="127"/>
      <c r="E12" s="125"/>
      <c r="F12" s="129"/>
      <c r="G12" s="131"/>
      <c r="H12" s="133"/>
      <c r="I12" s="135"/>
      <c r="J12" s="137"/>
      <c r="K12" s="139"/>
      <c r="L12" s="141"/>
      <c r="M12" s="143"/>
      <c r="N12" s="119"/>
      <c r="O12" s="120"/>
      <c r="P12" s="121"/>
      <c r="Q12" s="6"/>
      <c r="R12" s="6"/>
      <c r="S12" s="6"/>
      <c r="T12" s="6"/>
    </row>
    <row r="13" spans="1:20" s="33" customFormat="1" ht="14.25" hidden="1" customHeight="1">
      <c r="A13" s="17"/>
      <c r="B13" s="16"/>
      <c r="C13" s="16"/>
      <c r="D13" s="8"/>
      <c r="E13" s="8"/>
      <c r="F13" s="10"/>
      <c r="G13" s="11"/>
      <c r="H13" s="12"/>
      <c r="I13" s="13"/>
      <c r="J13" s="13"/>
      <c r="K13" s="14"/>
      <c r="L13" s="15"/>
      <c r="M13" s="36"/>
      <c r="N13" s="98"/>
      <c r="O13" s="99"/>
      <c r="P13" s="100"/>
      <c r="Q13" s="3"/>
      <c r="R13" s="3"/>
      <c r="S13" s="3"/>
      <c r="T13" s="3"/>
    </row>
    <row r="14" spans="1:20" s="33" customFormat="1" ht="14.25" customHeight="1">
      <c r="A14" s="17">
        <v>1</v>
      </c>
      <c r="B14" s="16" t="s">
        <v>96</v>
      </c>
      <c r="C14" s="16" t="s">
        <v>97</v>
      </c>
      <c r="D14" s="8" t="s">
        <v>102</v>
      </c>
      <c r="E14" s="8" t="s">
        <v>98</v>
      </c>
      <c r="F14" s="8" t="s">
        <v>132</v>
      </c>
      <c r="G14" s="15">
        <v>0.30486111111111114</v>
      </c>
      <c r="H14" s="13">
        <v>0.30486111111111114</v>
      </c>
      <c r="I14" s="13">
        <v>0</v>
      </c>
      <c r="J14" s="13">
        <v>0.30486111111111114</v>
      </c>
      <c r="K14" s="13">
        <v>0</v>
      </c>
      <c r="L14" s="15">
        <v>0</v>
      </c>
      <c r="M14" s="37">
        <v>0</v>
      </c>
      <c r="N14" s="146" t="s">
        <v>162</v>
      </c>
      <c r="O14" s="147"/>
      <c r="P14" s="148"/>
      <c r="Q14" s="3"/>
      <c r="R14" s="3"/>
      <c r="S14" s="3"/>
      <c r="T14" s="3"/>
    </row>
    <row r="15" spans="1:20" s="33" customFormat="1" ht="14.25" customHeight="1">
      <c r="A15" s="277">
        <v>2</v>
      </c>
      <c r="B15" s="278" t="s">
        <v>96</v>
      </c>
      <c r="C15" s="278" t="s">
        <v>97</v>
      </c>
      <c r="D15" s="279" t="s">
        <v>103</v>
      </c>
      <c r="E15" s="279" t="s">
        <v>98</v>
      </c>
      <c r="F15" s="279" t="s">
        <v>133</v>
      </c>
      <c r="G15" s="283">
        <v>0.30833333333333335</v>
      </c>
      <c r="H15" s="284">
        <v>0.30833333333333335</v>
      </c>
      <c r="I15" s="284">
        <v>0</v>
      </c>
      <c r="J15" s="284">
        <v>0.30833333333333335</v>
      </c>
      <c r="K15" s="284">
        <v>0</v>
      </c>
      <c r="L15" s="283">
        <v>1.3888888888888889E-3</v>
      </c>
      <c r="M15" s="291">
        <v>0</v>
      </c>
      <c r="N15" s="274" t="s">
        <v>162</v>
      </c>
      <c r="O15" s="275"/>
      <c r="P15" s="276"/>
      <c r="Q15" s="3"/>
      <c r="R15" s="3"/>
      <c r="S15" s="3"/>
      <c r="T15" s="3"/>
    </row>
    <row r="16" spans="1:20" s="33" customFormat="1" ht="14.25" customHeight="1">
      <c r="A16" s="277">
        <v>3</v>
      </c>
      <c r="B16" s="278" t="s">
        <v>96</v>
      </c>
      <c r="C16" s="278" t="s">
        <v>97</v>
      </c>
      <c r="D16" s="279" t="s">
        <v>104</v>
      </c>
      <c r="E16" s="279" t="s">
        <v>99</v>
      </c>
      <c r="F16" s="279" t="s">
        <v>134</v>
      </c>
      <c r="G16" s="283">
        <v>0.26180555555555557</v>
      </c>
      <c r="H16" s="284">
        <v>0.26180555555555557</v>
      </c>
      <c r="I16" s="284">
        <v>0</v>
      </c>
      <c r="J16" s="284">
        <v>0.26180555555555557</v>
      </c>
      <c r="K16" s="284">
        <v>0</v>
      </c>
      <c r="L16" s="283">
        <v>0</v>
      </c>
      <c r="M16" s="291">
        <v>0</v>
      </c>
      <c r="N16" s="274" t="s">
        <v>162</v>
      </c>
      <c r="O16" s="275"/>
      <c r="P16" s="276"/>
      <c r="Q16" s="3"/>
      <c r="R16" s="3"/>
      <c r="S16" s="3"/>
      <c r="T16" s="3"/>
    </row>
    <row r="17" spans="1:20" s="33" customFormat="1" ht="14.25" customHeight="1">
      <c r="A17" s="277">
        <v>4</v>
      </c>
      <c r="B17" s="278" t="s">
        <v>96</v>
      </c>
      <c r="C17" s="278" t="s">
        <v>97</v>
      </c>
      <c r="D17" s="279" t="s">
        <v>105</v>
      </c>
      <c r="E17" s="279" t="s">
        <v>98</v>
      </c>
      <c r="F17" s="279" t="s">
        <v>135</v>
      </c>
      <c r="G17" s="283">
        <v>0.30694444444444446</v>
      </c>
      <c r="H17" s="284">
        <v>0.30694444444444446</v>
      </c>
      <c r="I17" s="284">
        <v>0</v>
      </c>
      <c r="J17" s="284">
        <v>0.30694444444444446</v>
      </c>
      <c r="K17" s="284">
        <v>0</v>
      </c>
      <c r="L17" s="283">
        <v>0</v>
      </c>
      <c r="M17" s="291">
        <v>0</v>
      </c>
      <c r="N17" s="274" t="s">
        <v>162</v>
      </c>
      <c r="O17" s="275"/>
      <c r="P17" s="276"/>
      <c r="Q17" s="3"/>
      <c r="R17" s="3"/>
      <c r="S17" s="3"/>
      <c r="T17" s="3"/>
    </row>
    <row r="18" spans="1:20" s="33" customFormat="1" ht="14.25" customHeight="1">
      <c r="A18" s="277">
        <v>5</v>
      </c>
      <c r="B18" s="278" t="s">
        <v>96</v>
      </c>
      <c r="C18" s="278" t="s">
        <v>97</v>
      </c>
      <c r="D18" s="279" t="s">
        <v>106</v>
      </c>
      <c r="E18" s="279" t="s">
        <v>99</v>
      </c>
      <c r="F18" s="279" t="s">
        <v>136</v>
      </c>
      <c r="G18" s="283">
        <v>0.26111111111111113</v>
      </c>
      <c r="H18" s="284">
        <v>0.26111111111111113</v>
      </c>
      <c r="I18" s="284">
        <v>0</v>
      </c>
      <c r="J18" s="284">
        <v>0.26111111111111113</v>
      </c>
      <c r="K18" s="284">
        <v>0</v>
      </c>
      <c r="L18" s="283">
        <v>0</v>
      </c>
      <c r="M18" s="291">
        <v>0</v>
      </c>
      <c r="N18" s="274" t="s">
        <v>162</v>
      </c>
      <c r="O18" s="275"/>
      <c r="P18" s="276"/>
      <c r="Q18" s="3"/>
      <c r="R18" s="3"/>
      <c r="S18" s="3"/>
      <c r="T18" s="3"/>
    </row>
    <row r="19" spans="1:20" s="33" customFormat="1" ht="14.25" customHeight="1">
      <c r="A19" s="277">
        <v>6</v>
      </c>
      <c r="B19" s="278" t="s">
        <v>96</v>
      </c>
      <c r="C19" s="278" t="s">
        <v>97</v>
      </c>
      <c r="D19" s="279" t="s">
        <v>107</v>
      </c>
      <c r="E19" s="279" t="s">
        <v>99</v>
      </c>
      <c r="F19" s="279" t="s">
        <v>137</v>
      </c>
      <c r="G19" s="283">
        <v>0.2673611111111111</v>
      </c>
      <c r="H19" s="284">
        <v>0.2673611111111111</v>
      </c>
      <c r="I19" s="284">
        <v>0</v>
      </c>
      <c r="J19" s="284">
        <v>0.2673611111111111</v>
      </c>
      <c r="K19" s="284">
        <v>0</v>
      </c>
      <c r="L19" s="283">
        <v>0</v>
      </c>
      <c r="M19" s="291">
        <v>0</v>
      </c>
      <c r="N19" s="274" t="s">
        <v>162</v>
      </c>
      <c r="O19" s="275"/>
      <c r="P19" s="276"/>
      <c r="Q19" s="3"/>
      <c r="R19" s="3"/>
      <c r="S19" s="3"/>
      <c r="T19" s="3"/>
    </row>
    <row r="20" spans="1:20" s="33" customFormat="1" ht="14.25" customHeight="1">
      <c r="A20" s="277">
        <v>7</v>
      </c>
      <c r="B20" s="278" t="s">
        <v>96</v>
      </c>
      <c r="C20" s="278" t="s">
        <v>97</v>
      </c>
      <c r="D20" s="279" t="s">
        <v>108</v>
      </c>
      <c r="E20" s="279" t="s">
        <v>98</v>
      </c>
      <c r="F20" s="279" t="s">
        <v>138</v>
      </c>
      <c r="G20" s="283">
        <v>0.25486111111111109</v>
      </c>
      <c r="H20" s="284">
        <v>0.25486111111111109</v>
      </c>
      <c r="I20" s="284">
        <v>0</v>
      </c>
      <c r="J20" s="284">
        <v>0.25486111111111109</v>
      </c>
      <c r="K20" s="284">
        <v>0</v>
      </c>
      <c r="L20" s="283">
        <v>0</v>
      </c>
      <c r="M20" s="291">
        <v>0</v>
      </c>
      <c r="N20" s="274" t="s">
        <v>162</v>
      </c>
      <c r="O20" s="275"/>
      <c r="P20" s="276"/>
      <c r="Q20" s="3"/>
      <c r="R20" s="3"/>
      <c r="S20" s="3"/>
      <c r="T20" s="3"/>
    </row>
    <row r="21" spans="1:20" s="33" customFormat="1" ht="14.25" customHeight="1">
      <c r="A21" s="277">
        <v>20</v>
      </c>
      <c r="B21" s="278" t="s">
        <v>96</v>
      </c>
      <c r="C21" s="278" t="s">
        <v>97</v>
      </c>
      <c r="D21" s="279" t="s">
        <v>109</v>
      </c>
      <c r="E21" s="279" t="s">
        <v>98</v>
      </c>
      <c r="F21" s="279" t="s">
        <v>139</v>
      </c>
      <c r="G21" s="283">
        <v>0.31180555555555556</v>
      </c>
      <c r="H21" s="284">
        <v>0.31180555555555556</v>
      </c>
      <c r="I21" s="284">
        <v>0</v>
      </c>
      <c r="J21" s="284">
        <v>0.31180555555555556</v>
      </c>
      <c r="K21" s="284">
        <v>0</v>
      </c>
      <c r="L21" s="283">
        <v>4.8611111111111112E-3</v>
      </c>
      <c r="M21" s="291">
        <v>0</v>
      </c>
      <c r="N21" s="274" t="s">
        <v>162</v>
      </c>
      <c r="O21" s="275"/>
      <c r="P21" s="276"/>
      <c r="Q21" s="3"/>
      <c r="R21" s="3"/>
      <c r="S21" s="3"/>
      <c r="T21" s="3"/>
    </row>
    <row r="22" spans="1:20" s="33" customFormat="1" ht="14.25" customHeight="1">
      <c r="A22" s="277">
        <v>21</v>
      </c>
      <c r="B22" s="278" t="s">
        <v>96</v>
      </c>
      <c r="C22" s="278" t="s">
        <v>97</v>
      </c>
      <c r="D22" s="279" t="s">
        <v>110</v>
      </c>
      <c r="E22" s="279" t="s">
        <v>99</v>
      </c>
      <c r="F22" s="279" t="s">
        <v>140</v>
      </c>
      <c r="G22" s="283">
        <v>0.31458333333333333</v>
      </c>
      <c r="H22" s="284">
        <v>0.31458333333333333</v>
      </c>
      <c r="I22" s="284">
        <v>0</v>
      </c>
      <c r="J22" s="284">
        <v>0.31458333333333333</v>
      </c>
      <c r="K22" s="284">
        <v>0</v>
      </c>
      <c r="L22" s="283">
        <v>7.6388888888888886E-3</v>
      </c>
      <c r="M22" s="291">
        <v>0</v>
      </c>
      <c r="N22" s="274" t="s">
        <v>162</v>
      </c>
      <c r="O22" s="275"/>
      <c r="P22" s="276"/>
      <c r="Q22" s="3"/>
      <c r="R22" s="3"/>
      <c r="S22" s="3"/>
      <c r="T22" s="3"/>
    </row>
    <row r="23" spans="1:20" s="33" customFormat="1" ht="14.25" customHeight="1">
      <c r="A23" s="277">
        <v>22</v>
      </c>
      <c r="B23" s="278" t="s">
        <v>96</v>
      </c>
      <c r="C23" s="278" t="s">
        <v>97</v>
      </c>
      <c r="D23" s="279" t="s">
        <v>111</v>
      </c>
      <c r="E23" s="279" t="s">
        <v>99</v>
      </c>
      <c r="F23" s="279" t="s">
        <v>141</v>
      </c>
      <c r="G23" s="283">
        <v>0.3</v>
      </c>
      <c r="H23" s="284">
        <v>0.3</v>
      </c>
      <c r="I23" s="284">
        <v>0</v>
      </c>
      <c r="J23" s="284">
        <v>0.3</v>
      </c>
      <c r="K23" s="284">
        <v>0</v>
      </c>
      <c r="L23" s="283">
        <v>0</v>
      </c>
      <c r="M23" s="291">
        <v>0</v>
      </c>
      <c r="N23" s="274" t="s">
        <v>162</v>
      </c>
      <c r="O23" s="275"/>
      <c r="P23" s="276"/>
      <c r="Q23" s="3"/>
      <c r="R23" s="3"/>
      <c r="S23" s="3"/>
      <c r="T23" s="3"/>
    </row>
    <row r="24" spans="1:20" s="33" customFormat="1" ht="14.25" customHeight="1">
      <c r="A24" s="277">
        <v>23</v>
      </c>
      <c r="B24" s="278" t="s">
        <v>96</v>
      </c>
      <c r="C24" s="278" t="s">
        <v>98</v>
      </c>
      <c r="D24" s="279" t="s">
        <v>112</v>
      </c>
      <c r="E24" s="279" t="s">
        <v>99</v>
      </c>
      <c r="F24" s="279" t="s">
        <v>142</v>
      </c>
      <c r="G24" s="283">
        <v>0.2951388888888889</v>
      </c>
      <c r="H24" s="284">
        <v>0.2951388888888889</v>
      </c>
      <c r="I24" s="284">
        <v>0</v>
      </c>
      <c r="J24" s="284">
        <v>0.2951388888888889</v>
      </c>
      <c r="K24" s="284">
        <v>0</v>
      </c>
      <c r="L24" s="283">
        <v>0</v>
      </c>
      <c r="M24" s="291">
        <v>0</v>
      </c>
      <c r="N24" s="274" t="s">
        <v>162</v>
      </c>
      <c r="O24" s="275"/>
      <c r="P24" s="276"/>
      <c r="Q24" s="3"/>
      <c r="R24" s="3"/>
      <c r="S24" s="3"/>
      <c r="T24" s="3"/>
    </row>
    <row r="25" spans="1:20" s="33" customFormat="1" ht="14.25" customHeight="1">
      <c r="A25" s="277">
        <v>30</v>
      </c>
      <c r="B25" s="278" t="s">
        <v>96</v>
      </c>
      <c r="C25" s="278" t="s">
        <v>99</v>
      </c>
      <c r="D25" s="279" t="s">
        <v>113</v>
      </c>
      <c r="E25" s="279" t="s">
        <v>98</v>
      </c>
      <c r="F25" s="279" t="s">
        <v>143</v>
      </c>
      <c r="G25" s="283">
        <v>0.25138888888888888</v>
      </c>
      <c r="H25" s="284">
        <v>0.25138888888888888</v>
      </c>
      <c r="I25" s="284">
        <v>0</v>
      </c>
      <c r="J25" s="284">
        <v>0.25138888888888888</v>
      </c>
      <c r="K25" s="284">
        <v>0</v>
      </c>
      <c r="L25" s="283">
        <v>0</v>
      </c>
      <c r="M25" s="291">
        <v>0</v>
      </c>
      <c r="N25" s="274" t="s">
        <v>162</v>
      </c>
      <c r="O25" s="275"/>
      <c r="P25" s="276"/>
      <c r="Q25" s="3"/>
      <c r="R25" s="3"/>
      <c r="S25" s="3"/>
      <c r="T25" s="3"/>
    </row>
    <row r="26" spans="1:20" s="33" customFormat="1" ht="14.25" customHeight="1">
      <c r="A26" s="277">
        <v>31</v>
      </c>
      <c r="B26" s="278" t="s">
        <v>96</v>
      </c>
      <c r="C26" s="278" t="s">
        <v>99</v>
      </c>
      <c r="D26" s="279" t="s">
        <v>114</v>
      </c>
      <c r="E26" s="279" t="s">
        <v>97</v>
      </c>
      <c r="F26" s="279" t="s">
        <v>144</v>
      </c>
      <c r="G26" s="283">
        <v>0.29791666666666666</v>
      </c>
      <c r="H26" s="284">
        <v>0.29791666666666666</v>
      </c>
      <c r="I26" s="284">
        <v>0</v>
      </c>
      <c r="J26" s="284">
        <v>0.29791666666666666</v>
      </c>
      <c r="K26" s="284">
        <v>0</v>
      </c>
      <c r="L26" s="283">
        <v>0</v>
      </c>
      <c r="M26" s="291">
        <v>0</v>
      </c>
      <c r="N26" s="274" t="s">
        <v>162</v>
      </c>
      <c r="O26" s="275"/>
      <c r="P26" s="276"/>
      <c r="Q26" s="3"/>
      <c r="R26" s="3"/>
      <c r="S26" s="3"/>
      <c r="T26" s="3"/>
    </row>
    <row r="27" spans="1:20" s="33" customFormat="1" ht="14.25" customHeight="1">
      <c r="A27" s="277">
        <v>32</v>
      </c>
      <c r="B27" s="278" t="s">
        <v>96</v>
      </c>
      <c r="C27" s="278" t="s">
        <v>98</v>
      </c>
      <c r="D27" s="279" t="s">
        <v>115</v>
      </c>
      <c r="E27" s="279" t="s">
        <v>98</v>
      </c>
      <c r="F27" s="279" t="s">
        <v>145</v>
      </c>
      <c r="G27" s="283">
        <v>0.28819444444444442</v>
      </c>
      <c r="H27" s="284">
        <v>0.28819444444444442</v>
      </c>
      <c r="I27" s="284">
        <v>0</v>
      </c>
      <c r="J27" s="284">
        <v>0.28819444444444442</v>
      </c>
      <c r="K27" s="284">
        <v>0</v>
      </c>
      <c r="L27" s="283">
        <v>0</v>
      </c>
      <c r="M27" s="291">
        <v>0</v>
      </c>
      <c r="N27" s="274" t="s">
        <v>162</v>
      </c>
      <c r="O27" s="275"/>
      <c r="P27" s="276"/>
      <c r="Q27" s="3"/>
      <c r="R27" s="3"/>
      <c r="S27" s="3"/>
      <c r="T27" s="3"/>
    </row>
    <row r="28" spans="1:20" s="33" customFormat="1" ht="14.25" customHeight="1">
      <c r="A28" s="277">
        <v>33</v>
      </c>
      <c r="B28" s="278" t="s">
        <v>96</v>
      </c>
      <c r="C28" s="278" t="s">
        <v>98</v>
      </c>
      <c r="D28" s="279" t="s">
        <v>116</v>
      </c>
      <c r="E28" s="279" t="s">
        <v>97</v>
      </c>
      <c r="F28" s="279" t="s">
        <v>146</v>
      </c>
      <c r="G28" s="283">
        <v>0.26250000000000001</v>
      </c>
      <c r="H28" s="284">
        <v>0.26250000000000001</v>
      </c>
      <c r="I28" s="284">
        <v>0</v>
      </c>
      <c r="J28" s="284">
        <v>0.26250000000000001</v>
      </c>
      <c r="K28" s="284">
        <v>0</v>
      </c>
      <c r="L28" s="283">
        <v>0</v>
      </c>
      <c r="M28" s="291">
        <v>0</v>
      </c>
      <c r="N28" s="274" t="s">
        <v>162</v>
      </c>
      <c r="O28" s="275"/>
      <c r="P28" s="276"/>
      <c r="Q28" s="3"/>
      <c r="R28" s="3"/>
      <c r="S28" s="3"/>
      <c r="T28" s="3"/>
    </row>
    <row r="29" spans="1:20" s="33" customFormat="1" ht="14.25" customHeight="1">
      <c r="A29" s="277">
        <v>34</v>
      </c>
      <c r="B29" s="278" t="s">
        <v>96</v>
      </c>
      <c r="C29" s="278" t="s">
        <v>98</v>
      </c>
      <c r="D29" s="279" t="s">
        <v>117</v>
      </c>
      <c r="E29" s="279" t="s">
        <v>97</v>
      </c>
      <c r="F29" s="279" t="s">
        <v>147</v>
      </c>
      <c r="G29" s="283">
        <v>0.29791666666666666</v>
      </c>
      <c r="H29" s="284">
        <v>0.29791666666666666</v>
      </c>
      <c r="I29" s="284">
        <v>0</v>
      </c>
      <c r="J29" s="284">
        <v>0.29791666666666666</v>
      </c>
      <c r="K29" s="284">
        <v>0</v>
      </c>
      <c r="L29" s="283">
        <v>0</v>
      </c>
      <c r="M29" s="291">
        <v>0</v>
      </c>
      <c r="N29" s="274" t="s">
        <v>162</v>
      </c>
      <c r="O29" s="275"/>
      <c r="P29" s="276"/>
      <c r="Q29" s="3"/>
      <c r="R29" s="3"/>
      <c r="S29" s="3"/>
      <c r="T29" s="3"/>
    </row>
    <row r="30" spans="1:20" s="33" customFormat="1" ht="14.25" customHeight="1">
      <c r="A30" s="277">
        <v>35</v>
      </c>
      <c r="B30" s="278" t="s">
        <v>96</v>
      </c>
      <c r="C30" s="278" t="s">
        <v>98</v>
      </c>
      <c r="D30" s="279" t="s">
        <v>118</v>
      </c>
      <c r="E30" s="279" t="s">
        <v>97</v>
      </c>
      <c r="F30" s="279" t="s">
        <v>148</v>
      </c>
      <c r="G30" s="283">
        <v>0.32500000000000001</v>
      </c>
      <c r="H30" s="284">
        <v>0.32500000000000001</v>
      </c>
      <c r="I30" s="284">
        <v>0</v>
      </c>
      <c r="J30" s="284">
        <v>0.32500000000000001</v>
      </c>
      <c r="K30" s="284">
        <v>0</v>
      </c>
      <c r="L30" s="283">
        <v>1.8055555555555554E-2</v>
      </c>
      <c r="M30" s="291">
        <v>0</v>
      </c>
      <c r="N30" s="274" t="s">
        <v>162</v>
      </c>
      <c r="O30" s="275"/>
      <c r="P30" s="276"/>
      <c r="Q30" s="3"/>
      <c r="R30" s="3"/>
      <c r="S30" s="3"/>
      <c r="T30" s="3"/>
    </row>
    <row r="31" spans="1:20" s="33" customFormat="1" ht="14.25" customHeight="1">
      <c r="A31" s="277">
        <v>36</v>
      </c>
      <c r="B31" s="278" t="s">
        <v>96</v>
      </c>
      <c r="C31" s="278" t="s">
        <v>97</v>
      </c>
      <c r="D31" s="279" t="s">
        <v>119</v>
      </c>
      <c r="E31" s="279" t="s">
        <v>97</v>
      </c>
      <c r="F31" s="279" t="s">
        <v>149</v>
      </c>
      <c r="G31" s="283">
        <v>0.25555555555555554</v>
      </c>
      <c r="H31" s="284">
        <v>0.25555555555555554</v>
      </c>
      <c r="I31" s="284">
        <v>0</v>
      </c>
      <c r="J31" s="284">
        <v>0.25555555555555554</v>
      </c>
      <c r="K31" s="284">
        <v>0</v>
      </c>
      <c r="L31" s="283">
        <v>0</v>
      </c>
      <c r="M31" s="291">
        <v>0</v>
      </c>
      <c r="N31" s="274" t="s">
        <v>162</v>
      </c>
      <c r="O31" s="275"/>
      <c r="P31" s="276"/>
      <c r="Q31" s="3"/>
      <c r="R31" s="3"/>
      <c r="S31" s="3"/>
      <c r="T31" s="3"/>
    </row>
    <row r="32" spans="1:20" s="33" customFormat="1" ht="14.25" customHeight="1">
      <c r="A32" s="295">
        <v>60</v>
      </c>
      <c r="B32" s="292" t="s">
        <v>96</v>
      </c>
      <c r="C32" s="278" t="s">
        <v>97</v>
      </c>
      <c r="D32" s="279" t="s">
        <v>120</v>
      </c>
      <c r="E32" s="279" t="s">
        <v>97</v>
      </c>
      <c r="F32" s="279" t="s">
        <v>150</v>
      </c>
      <c r="G32" s="283">
        <v>0.23402777777777778</v>
      </c>
      <c r="H32" s="284">
        <v>0.32916666666666666</v>
      </c>
      <c r="I32" s="284">
        <v>5.6944444444444443E-2</v>
      </c>
      <c r="J32" s="284">
        <v>0.38611111111111113</v>
      </c>
      <c r="K32" s="284">
        <v>0</v>
      </c>
      <c r="L32" s="293">
        <v>2.2222222222222223E-2</v>
      </c>
      <c r="M32" s="294">
        <v>10</v>
      </c>
      <c r="N32" s="274" t="s">
        <v>162</v>
      </c>
      <c r="O32" s="275"/>
      <c r="P32" s="276"/>
      <c r="Q32" s="3"/>
      <c r="R32" s="3"/>
      <c r="S32" s="3"/>
      <c r="T32" s="3"/>
    </row>
    <row r="33" spans="1:20" s="33" customFormat="1" ht="14.25" customHeight="1">
      <c r="A33" s="296"/>
      <c r="B33" s="297"/>
      <c r="C33" s="16" t="s">
        <v>98</v>
      </c>
      <c r="D33" s="8" t="s">
        <v>121</v>
      </c>
      <c r="E33" s="8" t="s">
        <v>98</v>
      </c>
      <c r="F33" s="8" t="s">
        <v>151</v>
      </c>
      <c r="G33" s="15">
        <v>9.5138888888888884E-2</v>
      </c>
      <c r="H33" s="13">
        <v>0.32916666666666666</v>
      </c>
      <c r="I33" s="13">
        <v>5.6944444444444443E-2</v>
      </c>
      <c r="J33" s="13">
        <v>0.38611111111111113</v>
      </c>
      <c r="K33" s="13">
        <v>0</v>
      </c>
      <c r="L33" s="298"/>
      <c r="M33" s="299"/>
      <c r="N33" s="146" t="s">
        <v>162</v>
      </c>
      <c r="O33" s="147"/>
      <c r="P33" s="148"/>
      <c r="Q33" s="3"/>
      <c r="R33" s="3"/>
      <c r="S33" s="3"/>
      <c r="T33" s="3"/>
    </row>
    <row r="34" spans="1:20" s="33" customFormat="1" ht="14.25" customHeight="1">
      <c r="A34" s="295">
        <v>61</v>
      </c>
      <c r="B34" s="292" t="s">
        <v>96</v>
      </c>
      <c r="C34" s="278" t="s">
        <v>97</v>
      </c>
      <c r="D34" s="279" t="s">
        <v>122</v>
      </c>
      <c r="E34" s="279" t="s">
        <v>99</v>
      </c>
      <c r="F34" s="279" t="s">
        <v>152</v>
      </c>
      <c r="G34" s="283">
        <v>0.15694444444444444</v>
      </c>
      <c r="H34" s="284">
        <v>0.32083333333333336</v>
      </c>
      <c r="I34" s="284">
        <v>7.9861111111111105E-2</v>
      </c>
      <c r="J34" s="284">
        <v>0.40069444444444446</v>
      </c>
      <c r="K34" s="284">
        <v>0</v>
      </c>
      <c r="L34" s="293">
        <v>1.3888888888888888E-2</v>
      </c>
      <c r="M34" s="294">
        <v>10</v>
      </c>
      <c r="N34" s="274" t="s">
        <v>162</v>
      </c>
      <c r="O34" s="275"/>
      <c r="P34" s="276"/>
      <c r="Q34" s="3"/>
      <c r="R34" s="3"/>
      <c r="S34" s="3"/>
      <c r="T34" s="3"/>
    </row>
    <row r="35" spans="1:20" s="33" customFormat="1" ht="14.25" customHeight="1">
      <c r="A35" s="296"/>
      <c r="B35" s="297"/>
      <c r="C35" s="16" t="s">
        <v>99</v>
      </c>
      <c r="D35" s="8" t="s">
        <v>123</v>
      </c>
      <c r="E35" s="8" t="s">
        <v>98</v>
      </c>
      <c r="F35" s="8" t="s">
        <v>153</v>
      </c>
      <c r="G35" s="15">
        <v>0.16388888888888889</v>
      </c>
      <c r="H35" s="13">
        <v>0.32083333333333336</v>
      </c>
      <c r="I35" s="13">
        <v>7.9861111111111105E-2</v>
      </c>
      <c r="J35" s="13">
        <v>0.40069444444444446</v>
      </c>
      <c r="K35" s="13">
        <v>0</v>
      </c>
      <c r="L35" s="298"/>
      <c r="M35" s="299"/>
      <c r="N35" s="146" t="s">
        <v>162</v>
      </c>
      <c r="O35" s="147"/>
      <c r="P35" s="148"/>
      <c r="Q35" s="3"/>
      <c r="R35" s="3"/>
      <c r="S35" s="3"/>
      <c r="T35" s="3"/>
    </row>
    <row r="36" spans="1:20" s="33" customFormat="1" ht="14.25" customHeight="1">
      <c r="A36" s="277">
        <v>92</v>
      </c>
      <c r="B36" s="278" t="s">
        <v>96</v>
      </c>
      <c r="C36" s="278" t="s">
        <v>99</v>
      </c>
      <c r="D36" s="279" t="s">
        <v>124</v>
      </c>
      <c r="E36" s="279" t="s">
        <v>97</v>
      </c>
      <c r="F36" s="279" t="s">
        <v>154</v>
      </c>
      <c r="G36" s="283">
        <v>0.31111111111111112</v>
      </c>
      <c r="H36" s="284">
        <v>0.31111111111111112</v>
      </c>
      <c r="I36" s="284">
        <v>0</v>
      </c>
      <c r="J36" s="284">
        <v>0.31111111111111112</v>
      </c>
      <c r="K36" s="284">
        <v>0</v>
      </c>
      <c r="L36" s="283">
        <v>4.1666666666666666E-3</v>
      </c>
      <c r="M36" s="291">
        <v>0</v>
      </c>
      <c r="N36" s="274" t="s">
        <v>162</v>
      </c>
      <c r="O36" s="275"/>
      <c r="P36" s="276"/>
      <c r="Q36" s="3"/>
      <c r="R36" s="3"/>
      <c r="S36" s="3"/>
      <c r="T36" s="3"/>
    </row>
    <row r="37" spans="1:20" s="33" customFormat="1" ht="14.25" customHeight="1">
      <c r="A37" s="277">
        <v>93</v>
      </c>
      <c r="B37" s="278" t="s">
        <v>96</v>
      </c>
      <c r="C37" s="278" t="s">
        <v>98</v>
      </c>
      <c r="D37" s="279" t="s">
        <v>125</v>
      </c>
      <c r="E37" s="279" t="s">
        <v>97</v>
      </c>
      <c r="F37" s="279" t="s">
        <v>155</v>
      </c>
      <c r="G37" s="283">
        <v>0.28680555555555554</v>
      </c>
      <c r="H37" s="284">
        <v>0.28680555555555554</v>
      </c>
      <c r="I37" s="284">
        <v>0</v>
      </c>
      <c r="J37" s="284">
        <v>0.28680555555555554</v>
      </c>
      <c r="K37" s="284">
        <v>0</v>
      </c>
      <c r="L37" s="283">
        <v>0</v>
      </c>
      <c r="M37" s="291">
        <v>0</v>
      </c>
      <c r="N37" s="274" t="s">
        <v>162</v>
      </c>
      <c r="O37" s="275"/>
      <c r="P37" s="276"/>
      <c r="Q37" s="3"/>
      <c r="R37" s="3"/>
      <c r="S37" s="3"/>
      <c r="T37" s="3"/>
    </row>
    <row r="38" spans="1:20" s="33" customFormat="1" ht="14.25" customHeight="1">
      <c r="A38" s="277">
        <v>94</v>
      </c>
      <c r="B38" s="278" t="s">
        <v>96</v>
      </c>
      <c r="C38" s="278" t="s">
        <v>99</v>
      </c>
      <c r="D38" s="279" t="s">
        <v>126</v>
      </c>
      <c r="E38" s="279" t="s">
        <v>97</v>
      </c>
      <c r="F38" s="279" t="s">
        <v>156</v>
      </c>
      <c r="G38" s="283">
        <v>0.2986111111111111</v>
      </c>
      <c r="H38" s="284">
        <v>0.2986111111111111</v>
      </c>
      <c r="I38" s="284">
        <v>0</v>
      </c>
      <c r="J38" s="284">
        <v>0.2986111111111111</v>
      </c>
      <c r="K38" s="284">
        <v>0</v>
      </c>
      <c r="L38" s="283">
        <v>0</v>
      </c>
      <c r="M38" s="291">
        <v>0</v>
      </c>
      <c r="N38" s="274" t="s">
        <v>162</v>
      </c>
      <c r="O38" s="275"/>
      <c r="P38" s="276"/>
      <c r="Q38" s="3"/>
      <c r="R38" s="3"/>
      <c r="S38" s="3"/>
      <c r="T38" s="3"/>
    </row>
    <row r="39" spans="1:20" s="33" customFormat="1" ht="14.25" customHeight="1">
      <c r="A39" s="277">
        <v>95</v>
      </c>
      <c r="B39" s="278" t="s">
        <v>96</v>
      </c>
      <c r="C39" s="278" t="s">
        <v>97</v>
      </c>
      <c r="D39" s="279" t="s">
        <v>127</v>
      </c>
      <c r="E39" s="279" t="s">
        <v>97</v>
      </c>
      <c r="F39" s="279" t="s">
        <v>157</v>
      </c>
      <c r="G39" s="283">
        <v>0.27569444444444446</v>
      </c>
      <c r="H39" s="284">
        <v>0.27569444444444446</v>
      </c>
      <c r="I39" s="284">
        <v>0</v>
      </c>
      <c r="J39" s="284">
        <v>0.27569444444444446</v>
      </c>
      <c r="K39" s="284">
        <v>0</v>
      </c>
      <c r="L39" s="283">
        <v>0</v>
      </c>
      <c r="M39" s="291">
        <v>0</v>
      </c>
      <c r="N39" s="274" t="s">
        <v>162</v>
      </c>
      <c r="O39" s="275"/>
      <c r="P39" s="276"/>
      <c r="Q39" s="3"/>
      <c r="R39" s="3"/>
      <c r="S39" s="3"/>
      <c r="T39" s="3"/>
    </row>
    <row r="40" spans="1:20" s="33" customFormat="1" ht="14.25" customHeight="1">
      <c r="A40" s="277">
        <v>96</v>
      </c>
      <c r="B40" s="278" t="s">
        <v>96</v>
      </c>
      <c r="C40" s="278" t="s">
        <v>98</v>
      </c>
      <c r="D40" s="279" t="s">
        <v>128</v>
      </c>
      <c r="E40" s="279" t="s">
        <v>97</v>
      </c>
      <c r="F40" s="279" t="s">
        <v>158</v>
      </c>
      <c r="G40" s="283">
        <v>0.27361111111111114</v>
      </c>
      <c r="H40" s="284">
        <v>0.27361111111111114</v>
      </c>
      <c r="I40" s="284">
        <v>0</v>
      </c>
      <c r="J40" s="284">
        <v>0.27361111111111114</v>
      </c>
      <c r="K40" s="284">
        <v>0</v>
      </c>
      <c r="L40" s="283">
        <v>0</v>
      </c>
      <c r="M40" s="291">
        <v>0</v>
      </c>
      <c r="N40" s="274" t="s">
        <v>162</v>
      </c>
      <c r="O40" s="275"/>
      <c r="P40" s="276"/>
      <c r="Q40" s="3"/>
      <c r="R40" s="3"/>
      <c r="S40" s="3"/>
      <c r="T40" s="3"/>
    </row>
    <row r="41" spans="1:20" s="33" customFormat="1" ht="14.25" customHeight="1">
      <c r="A41" s="277">
        <v>97</v>
      </c>
      <c r="B41" s="278" t="s">
        <v>96</v>
      </c>
      <c r="C41" s="278" t="s">
        <v>99</v>
      </c>
      <c r="D41" s="279" t="s">
        <v>129</v>
      </c>
      <c r="E41" s="279" t="s">
        <v>97</v>
      </c>
      <c r="F41" s="279" t="s">
        <v>159</v>
      </c>
      <c r="G41" s="283">
        <v>0.3125</v>
      </c>
      <c r="H41" s="284">
        <v>0.3125</v>
      </c>
      <c r="I41" s="284">
        <v>0</v>
      </c>
      <c r="J41" s="284">
        <v>0.3125</v>
      </c>
      <c r="K41" s="284">
        <v>0</v>
      </c>
      <c r="L41" s="283">
        <v>5.5555555555555558E-3</v>
      </c>
      <c r="M41" s="291">
        <v>0</v>
      </c>
      <c r="N41" s="274" t="s">
        <v>162</v>
      </c>
      <c r="O41" s="275"/>
      <c r="P41" s="276"/>
      <c r="Q41" s="3"/>
      <c r="R41" s="3"/>
      <c r="S41" s="3"/>
      <c r="T41" s="3"/>
    </row>
    <row r="42" spans="1:20" s="33" customFormat="1" ht="14.25" customHeight="1">
      <c r="A42" s="277">
        <v>98</v>
      </c>
      <c r="B42" s="278" t="s">
        <v>96</v>
      </c>
      <c r="C42" s="278" t="s">
        <v>98</v>
      </c>
      <c r="D42" s="279" t="s">
        <v>130</v>
      </c>
      <c r="E42" s="279" t="s">
        <v>97</v>
      </c>
      <c r="F42" s="279" t="s">
        <v>160</v>
      </c>
      <c r="G42" s="283">
        <v>0.32013888888888886</v>
      </c>
      <c r="H42" s="284">
        <v>0.32013888888888886</v>
      </c>
      <c r="I42" s="284">
        <v>0</v>
      </c>
      <c r="J42" s="284">
        <v>0.32013888888888886</v>
      </c>
      <c r="K42" s="284">
        <v>0</v>
      </c>
      <c r="L42" s="283">
        <v>1.3194444444444444E-2</v>
      </c>
      <c r="M42" s="291">
        <v>0</v>
      </c>
      <c r="N42" s="274" t="s">
        <v>162</v>
      </c>
      <c r="O42" s="275"/>
      <c r="P42" s="276"/>
      <c r="Q42" s="3"/>
      <c r="R42" s="3"/>
      <c r="S42" s="3"/>
      <c r="T42" s="3"/>
    </row>
    <row r="43" spans="1:20" s="33" customFormat="1" ht="14.25" customHeight="1">
      <c r="A43" s="280">
        <v>99</v>
      </c>
      <c r="B43" s="281" t="s">
        <v>96</v>
      </c>
      <c r="C43" s="281" t="s">
        <v>98</v>
      </c>
      <c r="D43" s="282" t="s">
        <v>131</v>
      </c>
      <c r="E43" s="282" t="s">
        <v>97</v>
      </c>
      <c r="F43" s="282" t="s">
        <v>161</v>
      </c>
      <c r="G43" s="285">
        <v>0.28125</v>
      </c>
      <c r="H43" s="286">
        <v>0.28125</v>
      </c>
      <c r="I43" s="286">
        <v>0</v>
      </c>
      <c r="J43" s="286">
        <v>0.28125</v>
      </c>
      <c r="K43" s="286">
        <v>0</v>
      </c>
      <c r="L43" s="285">
        <v>0</v>
      </c>
      <c r="M43" s="287">
        <v>0</v>
      </c>
      <c r="N43" s="288" t="s">
        <v>162</v>
      </c>
      <c r="O43" s="289"/>
      <c r="P43" s="290"/>
      <c r="Q43" s="3"/>
      <c r="R43" s="3"/>
      <c r="S43" s="3"/>
      <c r="T43" s="3"/>
    </row>
    <row r="44" spans="1:20" s="33" customFormat="1" hidden="1">
      <c r="A44" s="17"/>
      <c r="B44" s="16"/>
      <c r="C44" s="16"/>
      <c r="D44" s="8"/>
      <c r="E44" s="8"/>
      <c r="F44" s="8"/>
      <c r="G44" s="15"/>
      <c r="H44" s="13"/>
      <c r="I44" s="13"/>
      <c r="J44" s="13"/>
      <c r="K44" s="13"/>
      <c r="L44" s="15"/>
      <c r="M44" s="37"/>
      <c r="N44" s="146"/>
      <c r="O44" s="147"/>
      <c r="P44" s="148"/>
      <c r="Q44" s="3"/>
      <c r="R44" s="3"/>
      <c r="S44" s="3"/>
      <c r="T44" s="3"/>
    </row>
    <row r="45" spans="1:20" s="30" customFormat="1" ht="14.4" thickBot="1">
      <c r="A45" s="4"/>
      <c r="B45" s="4"/>
      <c r="C45" s="4"/>
      <c r="D45" s="4"/>
      <c r="E45" s="4"/>
      <c r="F45" s="4"/>
      <c r="G45" s="4"/>
      <c r="H45" s="4"/>
      <c r="I45" s="4"/>
      <c r="J45" s="4"/>
      <c r="K45" s="4"/>
      <c r="L45" s="4"/>
      <c r="M45" s="4"/>
      <c r="N45" s="149"/>
      <c r="O45" s="149"/>
      <c r="P45" s="149"/>
      <c r="Q45" s="4"/>
      <c r="R45" s="4"/>
      <c r="S45" s="4"/>
      <c r="T45" s="4"/>
    </row>
    <row r="46" spans="1:20" s="30" customFormat="1" ht="14.4" thickBot="1">
      <c r="A46" s="150" t="s">
        <v>64</v>
      </c>
      <c r="B46" s="151"/>
      <c r="C46" s="151"/>
      <c r="D46" s="152" t="s">
        <v>63</v>
      </c>
      <c r="E46" s="152"/>
      <c r="F46" s="152"/>
      <c r="G46" s="152"/>
      <c r="H46" s="152"/>
      <c r="I46" s="152"/>
      <c r="J46" s="152"/>
      <c r="K46" s="152"/>
      <c r="L46" s="152"/>
      <c r="M46" s="152"/>
      <c r="N46" s="152"/>
      <c r="O46" s="152"/>
      <c r="P46" s="153"/>
      <c r="Q46" s="4"/>
      <c r="R46" s="4"/>
      <c r="S46" s="4"/>
      <c r="T46" s="4"/>
    </row>
    <row r="47" spans="1:20" s="30" customFormat="1">
      <c r="A47" s="4"/>
      <c r="B47" s="4"/>
      <c r="C47" s="4"/>
      <c r="D47" s="4"/>
      <c r="E47" s="4"/>
      <c r="F47" s="4"/>
      <c r="G47" s="4"/>
      <c r="H47" s="4"/>
      <c r="I47" s="4"/>
      <c r="J47" s="4"/>
      <c r="K47" s="4"/>
      <c r="L47" s="4"/>
      <c r="M47" s="4"/>
      <c r="N47" s="4"/>
      <c r="O47" s="4"/>
      <c r="P47" s="4"/>
      <c r="Q47" s="4"/>
      <c r="R47" s="4"/>
      <c r="S47" s="4"/>
      <c r="T47" s="4"/>
    </row>
    <row r="48" spans="1:20" s="30" customFormat="1">
      <c r="A48" s="4"/>
      <c r="B48" s="4"/>
      <c r="C48" s="4"/>
      <c r="D48" s="4"/>
      <c r="E48" s="4"/>
      <c r="F48" s="4"/>
      <c r="G48" s="4"/>
      <c r="H48" s="4"/>
      <c r="I48" s="4"/>
      <c r="J48" s="4"/>
      <c r="K48" s="4"/>
      <c r="L48" s="4"/>
      <c r="M48" s="4"/>
      <c r="N48" s="4"/>
      <c r="O48" s="4"/>
      <c r="P48" s="4"/>
      <c r="Q48" s="4"/>
      <c r="R48" s="4"/>
      <c r="S48" s="4"/>
      <c r="T48" s="4"/>
    </row>
    <row r="49" spans="1:20" s="30" customFormat="1">
      <c r="A49" s="5"/>
      <c r="B49" s="5"/>
      <c r="C49" s="5"/>
      <c r="D49" s="5"/>
      <c r="E49" s="5"/>
      <c r="F49" s="5"/>
      <c r="G49" s="5"/>
      <c r="H49" s="5"/>
      <c r="I49" s="5"/>
      <c r="J49" s="5"/>
      <c r="K49" s="5"/>
      <c r="L49" s="5"/>
      <c r="M49" s="5"/>
      <c r="N49" s="5"/>
      <c r="O49" s="5"/>
      <c r="P49" s="5"/>
      <c r="Q49" s="5"/>
      <c r="R49" s="5"/>
      <c r="S49" s="5"/>
      <c r="T49" s="5"/>
    </row>
    <row r="50" spans="1:20" s="30" customFormat="1" ht="14.4" thickBot="1">
      <c r="A50" s="4"/>
      <c r="B50" s="4"/>
      <c r="C50" s="4"/>
      <c r="D50" s="4"/>
      <c r="E50" s="4"/>
      <c r="F50" s="4"/>
      <c r="G50" s="4"/>
      <c r="H50" s="4"/>
      <c r="I50" s="4"/>
      <c r="J50" s="4"/>
      <c r="K50" s="4"/>
      <c r="L50" s="4"/>
      <c r="M50" s="4"/>
      <c r="N50" s="4"/>
      <c r="O50" s="4"/>
      <c r="P50" s="4"/>
      <c r="Q50" s="4"/>
      <c r="R50" s="4"/>
      <c r="S50" s="4"/>
      <c r="T50" s="4"/>
    </row>
    <row r="51" spans="1:20" s="32" customFormat="1" ht="46.5" customHeight="1" thickBot="1">
      <c r="A51" s="104" t="s">
        <v>13</v>
      </c>
      <c r="B51" s="105"/>
      <c r="C51" s="106"/>
      <c r="D51" s="157" t="s">
        <v>35</v>
      </c>
      <c r="E51" s="159" t="s">
        <v>36</v>
      </c>
      <c r="F51" s="160"/>
      <c r="G51" s="161" t="s">
        <v>90</v>
      </c>
      <c r="H51" s="163" t="s">
        <v>15</v>
      </c>
      <c r="I51" s="113" t="s">
        <v>16</v>
      </c>
      <c r="J51" s="114"/>
      <c r="K51" s="165" t="s">
        <v>17</v>
      </c>
      <c r="L51" s="167" t="s">
        <v>18</v>
      </c>
      <c r="M51" s="168"/>
      <c r="N51" s="168"/>
      <c r="O51" s="168"/>
      <c r="P51" s="169"/>
      <c r="Q51" s="170" t="s">
        <v>44</v>
      </c>
      <c r="R51" s="172" t="s">
        <v>24</v>
      </c>
      <c r="S51" s="174" t="s">
        <v>25</v>
      </c>
      <c r="T51" s="144" t="s">
        <v>40</v>
      </c>
    </row>
    <row r="52" spans="1:20" s="32" customFormat="1" ht="27.6">
      <c r="A52" s="154"/>
      <c r="B52" s="155"/>
      <c r="C52" s="156"/>
      <c r="D52" s="158"/>
      <c r="E52" s="19" t="s">
        <v>46</v>
      </c>
      <c r="F52" s="20" t="s">
        <v>14</v>
      </c>
      <c r="G52" s="162"/>
      <c r="H52" s="164"/>
      <c r="I52" s="21" t="s">
        <v>55</v>
      </c>
      <c r="J52" s="22" t="s">
        <v>34</v>
      </c>
      <c r="K52" s="166"/>
      <c r="L52" s="23" t="s">
        <v>19</v>
      </c>
      <c r="M52" s="24" t="s">
        <v>20</v>
      </c>
      <c r="N52" s="25" t="s">
        <v>21</v>
      </c>
      <c r="O52" s="24" t="s">
        <v>22</v>
      </c>
      <c r="P52" s="26" t="s">
        <v>23</v>
      </c>
      <c r="Q52" s="171"/>
      <c r="R52" s="173"/>
      <c r="S52" s="175"/>
      <c r="T52" s="145"/>
    </row>
    <row r="53" spans="1:20" s="33" customFormat="1" ht="14.25" hidden="1" customHeight="1">
      <c r="A53" s="18"/>
      <c r="B53" s="18"/>
      <c r="C53" s="18"/>
      <c r="D53" s="18"/>
      <c r="E53" s="18"/>
      <c r="F53" s="18"/>
      <c r="G53" s="66"/>
      <c r="H53" s="67"/>
      <c r="I53" s="68"/>
      <c r="J53" s="18"/>
      <c r="K53" s="18"/>
      <c r="L53" s="18"/>
      <c r="M53" s="18"/>
      <c r="N53" s="18"/>
      <c r="O53" s="18"/>
      <c r="P53" s="18"/>
      <c r="Q53" s="66"/>
      <c r="R53" s="66"/>
      <c r="S53" s="70"/>
      <c r="T53" s="69"/>
    </row>
    <row r="54" spans="1:20" s="33" customFormat="1">
      <c r="A54" s="18" t="s">
        <v>163</v>
      </c>
      <c r="B54" s="176" t="s">
        <v>164</v>
      </c>
      <c r="C54" s="300"/>
      <c r="D54" s="18">
        <v>28</v>
      </c>
      <c r="E54" s="18" t="s">
        <v>91</v>
      </c>
      <c r="F54" s="18" t="s">
        <v>96</v>
      </c>
      <c r="G54" s="66">
        <v>9.0972222222222218E-2</v>
      </c>
      <c r="H54" s="67">
        <v>20</v>
      </c>
      <c r="I54" s="68"/>
      <c r="J54" s="18">
        <v>58</v>
      </c>
      <c r="K54" s="18">
        <v>0</v>
      </c>
      <c r="L54" s="18"/>
      <c r="M54" s="18"/>
      <c r="N54" s="18"/>
      <c r="O54" s="18">
        <v>0</v>
      </c>
      <c r="P54" s="18">
        <v>0</v>
      </c>
      <c r="Q54" s="66">
        <v>7.6979166666666661</v>
      </c>
      <c r="R54" s="66">
        <v>8.1750000000000007</v>
      </c>
      <c r="S54" s="70">
        <v>0.29196428571428573</v>
      </c>
      <c r="T54" s="69"/>
    </row>
    <row r="55" spans="1:20" s="33" customFormat="1" ht="14.25" hidden="1" customHeight="1">
      <c r="A55" s="18"/>
      <c r="B55" s="18"/>
      <c r="C55" s="18"/>
      <c r="D55" s="18"/>
      <c r="E55" s="18"/>
      <c r="F55" s="18"/>
      <c r="G55" s="66"/>
      <c r="H55" s="67"/>
      <c r="I55" s="68"/>
      <c r="J55" s="18"/>
      <c r="K55" s="18"/>
      <c r="L55" s="18"/>
      <c r="M55" s="18"/>
      <c r="N55" s="18"/>
      <c r="O55" s="18"/>
      <c r="P55" s="18"/>
      <c r="Q55" s="66"/>
      <c r="R55" s="66"/>
      <c r="S55" s="70"/>
      <c r="T55" s="69"/>
    </row>
    <row r="56" spans="1:20" s="30" customFormat="1" ht="22.5" customHeight="1" thickBot="1">
      <c r="A56" s="179" t="s">
        <v>43</v>
      </c>
      <c r="B56" s="180"/>
      <c r="C56" s="180"/>
      <c r="D56" s="180"/>
      <c r="E56" s="180"/>
      <c r="F56" s="180"/>
      <c r="G56" s="180"/>
      <c r="H56" s="180"/>
      <c r="I56" s="180"/>
      <c r="J56" s="180"/>
      <c r="K56" s="180"/>
      <c r="L56" s="180"/>
      <c r="M56" s="180"/>
      <c r="N56" s="180"/>
      <c r="O56" s="180"/>
      <c r="P56" s="180"/>
      <c r="Q56" s="180"/>
      <c r="R56" s="181"/>
      <c r="S56" s="71" t="str">
        <f>IFERROR(SUM(,R54*T54)/SUM(,T54*D54),"")</f>
        <v/>
      </c>
      <c r="T56" s="27"/>
    </row>
    <row r="57" spans="1:20" s="30" customFormat="1">
      <c r="A57" s="4"/>
      <c r="B57" s="4"/>
      <c r="C57" s="4"/>
      <c r="D57" s="4"/>
      <c r="E57" s="4"/>
      <c r="F57" s="4"/>
      <c r="G57" s="4"/>
      <c r="H57" s="4"/>
      <c r="I57" s="4"/>
      <c r="J57" s="4"/>
      <c r="K57" s="4"/>
      <c r="L57" s="4"/>
      <c r="M57" s="4"/>
      <c r="N57" s="4"/>
      <c r="O57" s="4"/>
      <c r="P57" s="4"/>
      <c r="Q57" s="4"/>
      <c r="R57" s="4"/>
      <c r="S57" s="4"/>
      <c r="T57" s="4"/>
    </row>
    <row r="58" spans="1:20" s="30" customFormat="1">
      <c r="A58" s="4"/>
      <c r="B58" s="4"/>
      <c r="C58" s="4"/>
      <c r="D58" s="4"/>
      <c r="E58" s="4"/>
      <c r="F58" s="4"/>
      <c r="G58" s="4"/>
      <c r="H58" s="4"/>
      <c r="I58" s="4"/>
      <c r="J58" s="4"/>
      <c r="K58" s="4"/>
      <c r="L58" s="4"/>
      <c r="M58" s="4"/>
      <c r="N58" s="4"/>
      <c r="O58" s="4"/>
      <c r="P58" s="4"/>
      <c r="Q58" s="4"/>
      <c r="R58" s="4"/>
      <c r="S58" s="4"/>
      <c r="T58" s="4"/>
    </row>
    <row r="59" spans="1:20" s="30" customFormat="1">
      <c r="A59" s="5"/>
      <c r="B59" s="5"/>
      <c r="C59" s="5"/>
      <c r="D59" s="5"/>
      <c r="E59" s="5"/>
      <c r="F59" s="5"/>
      <c r="G59" s="5"/>
      <c r="H59" s="5"/>
      <c r="I59" s="5"/>
      <c r="J59" s="5"/>
      <c r="K59" s="5"/>
      <c r="L59" s="5"/>
      <c r="M59" s="5"/>
      <c r="N59" s="5"/>
      <c r="O59" s="5"/>
      <c r="P59" s="5"/>
      <c r="Q59" s="5"/>
      <c r="R59" s="5"/>
      <c r="S59" s="5"/>
      <c r="T59" s="5"/>
    </row>
    <row r="60" spans="1:20" s="30" customFormat="1">
      <c r="A60" s="4"/>
      <c r="B60" s="4"/>
      <c r="C60" s="4"/>
      <c r="D60" s="4"/>
      <c r="E60" s="4"/>
      <c r="F60" s="4"/>
      <c r="G60" s="4"/>
      <c r="H60" s="4"/>
      <c r="I60" s="4"/>
      <c r="J60" s="4"/>
      <c r="K60" s="4"/>
      <c r="L60" s="4"/>
      <c r="M60" s="4"/>
      <c r="N60" s="4"/>
      <c r="O60" s="4"/>
      <c r="P60" s="4"/>
      <c r="Q60" s="4"/>
      <c r="R60" s="4"/>
      <c r="S60" s="4"/>
      <c r="T60" s="4"/>
    </row>
    <row r="61" spans="1:20" s="30" customFormat="1" ht="14.4" thickBot="1">
      <c r="A61" s="4"/>
      <c r="B61" s="4"/>
      <c r="C61" s="4"/>
      <c r="D61" s="4"/>
      <c r="E61" s="4"/>
      <c r="F61" s="4"/>
      <c r="G61" s="4"/>
      <c r="H61" s="4"/>
      <c r="I61" s="4"/>
      <c r="J61" s="4"/>
      <c r="K61" s="4"/>
      <c r="L61" s="4"/>
      <c r="M61" s="4"/>
      <c r="N61" s="4"/>
      <c r="O61" s="4"/>
      <c r="P61" s="4"/>
      <c r="Q61" s="4"/>
      <c r="R61" s="4"/>
      <c r="S61" s="4"/>
      <c r="T61" s="4"/>
    </row>
    <row r="62" spans="1:20" s="32" customFormat="1" ht="31.5" customHeight="1" thickBot="1">
      <c r="A62" s="104" t="s">
        <v>26</v>
      </c>
      <c r="B62" s="105"/>
      <c r="C62" s="106"/>
      <c r="D62" s="157" t="s">
        <v>27</v>
      </c>
      <c r="E62" s="159" t="s">
        <v>36</v>
      </c>
      <c r="F62" s="160"/>
      <c r="G62" s="182" t="s">
        <v>37</v>
      </c>
      <c r="H62" s="183"/>
      <c r="I62" s="184" t="s">
        <v>28</v>
      </c>
      <c r="J62" s="185"/>
      <c r="K62" s="186" t="s">
        <v>31</v>
      </c>
      <c r="L62" s="6"/>
      <c r="M62" s="6"/>
      <c r="N62" s="6"/>
      <c r="O62" s="6"/>
      <c r="P62" s="6"/>
      <c r="Q62" s="6"/>
      <c r="R62" s="6"/>
      <c r="S62" s="6"/>
      <c r="T62" s="6"/>
    </row>
    <row r="63" spans="1:20" s="32" customFormat="1" ht="27.6">
      <c r="A63" s="154"/>
      <c r="B63" s="155"/>
      <c r="C63" s="156"/>
      <c r="D63" s="158"/>
      <c r="E63" s="19" t="s">
        <v>46</v>
      </c>
      <c r="F63" s="20" t="s">
        <v>14</v>
      </c>
      <c r="G63" s="188" t="s">
        <v>68</v>
      </c>
      <c r="H63" s="189"/>
      <c r="I63" s="34" t="s">
        <v>29</v>
      </c>
      <c r="J63" s="35" t="s">
        <v>30</v>
      </c>
      <c r="K63" s="187"/>
      <c r="L63" s="6"/>
      <c r="M63" s="6"/>
      <c r="N63" s="6"/>
      <c r="O63" s="6"/>
      <c r="P63" s="6"/>
      <c r="Q63" s="6"/>
      <c r="R63" s="6"/>
      <c r="S63" s="6"/>
      <c r="T63" s="6"/>
    </row>
    <row r="64" spans="1:20" s="33" customFormat="1" hidden="1">
      <c r="A64" s="9"/>
      <c r="B64" s="176"/>
      <c r="C64" s="177"/>
      <c r="D64" s="73"/>
      <c r="E64" s="74"/>
      <c r="F64" s="73"/>
      <c r="G64" s="178"/>
      <c r="H64" s="177"/>
      <c r="I64" s="74"/>
      <c r="J64" s="73"/>
      <c r="K64" s="73"/>
      <c r="L64" s="3"/>
      <c r="M64" s="3"/>
      <c r="N64" s="3"/>
      <c r="O64" s="3"/>
      <c r="P64" s="3"/>
      <c r="Q64" s="3"/>
      <c r="R64" s="3"/>
      <c r="S64" s="3"/>
      <c r="T64" s="3"/>
    </row>
    <row r="65" spans="1:20" s="33" customFormat="1" hidden="1">
      <c r="A65" s="9"/>
      <c r="B65" s="72"/>
      <c r="C65" s="73"/>
      <c r="D65" s="73"/>
      <c r="E65" s="74"/>
      <c r="F65" s="73"/>
      <c r="G65" s="74"/>
      <c r="H65" s="73"/>
      <c r="I65" s="74"/>
      <c r="J65" s="73"/>
      <c r="K65" s="73"/>
      <c r="L65" s="3"/>
      <c r="M65" s="3"/>
      <c r="N65" s="3"/>
      <c r="O65" s="3"/>
      <c r="P65" s="3"/>
      <c r="Q65" s="3"/>
      <c r="R65" s="3"/>
      <c r="S65" s="3"/>
      <c r="T65" s="3"/>
    </row>
    <row r="66" spans="1:20" s="33" customFormat="1" ht="27.6" customHeight="1">
      <c r="A66" s="9" t="s">
        <v>94</v>
      </c>
      <c r="B66" s="176" t="s">
        <v>100</v>
      </c>
      <c r="C66" s="177"/>
      <c r="D66" s="73">
        <v>14</v>
      </c>
      <c r="E66" s="74" t="s">
        <v>91</v>
      </c>
      <c r="F66" s="73" t="s">
        <v>96</v>
      </c>
      <c r="G66" s="178" t="s">
        <v>165</v>
      </c>
      <c r="H66" s="177"/>
      <c r="I66" s="74">
        <v>12</v>
      </c>
      <c r="J66" s="73">
        <v>13</v>
      </c>
      <c r="K66" s="73">
        <v>13</v>
      </c>
      <c r="L66" s="3"/>
      <c r="M66" s="3"/>
      <c r="N66" s="3"/>
      <c r="O66" s="3"/>
      <c r="P66" s="3"/>
      <c r="Q66" s="3"/>
      <c r="R66" s="3"/>
      <c r="S66" s="3"/>
      <c r="T66" s="3"/>
    </row>
    <row r="67" spans="1:20" s="33" customFormat="1" hidden="1">
      <c r="A67" s="9"/>
      <c r="B67" s="176"/>
      <c r="C67" s="177"/>
      <c r="D67" s="73"/>
      <c r="E67" s="74"/>
      <c r="F67" s="73"/>
      <c r="G67" s="178"/>
      <c r="H67" s="177"/>
      <c r="I67" s="74"/>
      <c r="J67" s="73"/>
      <c r="K67" s="73"/>
      <c r="L67" s="3"/>
      <c r="M67" s="3"/>
      <c r="N67" s="3"/>
      <c r="O67" s="3"/>
      <c r="P67" s="3"/>
      <c r="Q67" s="3"/>
      <c r="R67" s="3"/>
      <c r="S67" s="3"/>
      <c r="T67" s="3"/>
    </row>
    <row r="68" spans="1:20" s="33" customFormat="1" hidden="1">
      <c r="A68" s="9"/>
      <c r="B68" s="72"/>
      <c r="C68" s="73"/>
      <c r="D68" s="73"/>
      <c r="E68" s="74"/>
      <c r="F68" s="73"/>
      <c r="G68" s="74"/>
      <c r="H68" s="73"/>
      <c r="I68" s="74"/>
      <c r="J68" s="73"/>
      <c r="K68" s="73"/>
      <c r="L68" s="3"/>
      <c r="M68" s="3"/>
      <c r="N68" s="3"/>
      <c r="O68" s="3"/>
      <c r="P68" s="3"/>
      <c r="Q68" s="3"/>
      <c r="R68" s="3"/>
      <c r="S68" s="3"/>
      <c r="T68" s="3"/>
    </row>
  </sheetData>
  <mergeCells count="109">
    <mergeCell ref="N42:P42"/>
    <mergeCell ref="N43:P43"/>
    <mergeCell ref="B54:C54"/>
    <mergeCell ref="B66:C66"/>
    <mergeCell ref="G66:H66"/>
    <mergeCell ref="N36:P36"/>
    <mergeCell ref="N37:P37"/>
    <mergeCell ref="N38:P38"/>
    <mergeCell ref="N39:P39"/>
    <mergeCell ref="N40:P40"/>
    <mergeCell ref="N41:P41"/>
    <mergeCell ref="N34:P34"/>
    <mergeCell ref="N35:P35"/>
    <mergeCell ref="B34:B35"/>
    <mergeCell ref="L34:L35"/>
    <mergeCell ref="M34:M35"/>
    <mergeCell ref="A34:A35"/>
    <mergeCell ref="N32:P32"/>
    <mergeCell ref="N33:P33"/>
    <mergeCell ref="B32:B33"/>
    <mergeCell ref="L32:L33"/>
    <mergeCell ref="M32:M33"/>
    <mergeCell ref="A32:A33"/>
    <mergeCell ref="N26:P26"/>
    <mergeCell ref="N27:P27"/>
    <mergeCell ref="N28:P28"/>
    <mergeCell ref="N29:P29"/>
    <mergeCell ref="N30:P30"/>
    <mergeCell ref="N31:P31"/>
    <mergeCell ref="N20:P20"/>
    <mergeCell ref="N21:P21"/>
    <mergeCell ref="N22:P22"/>
    <mergeCell ref="N23:P23"/>
    <mergeCell ref="N24:P24"/>
    <mergeCell ref="N25:P25"/>
    <mergeCell ref="B64:C64"/>
    <mergeCell ref="G64:H64"/>
    <mergeCell ref="B67:C67"/>
    <mergeCell ref="G67:H67"/>
    <mergeCell ref="N14:P14"/>
    <mergeCell ref="N15:P15"/>
    <mergeCell ref="N16:P16"/>
    <mergeCell ref="N17:P17"/>
    <mergeCell ref="N18:P18"/>
    <mergeCell ref="N19:P19"/>
    <mergeCell ref="A56:R56"/>
    <mergeCell ref="A62:C63"/>
    <mergeCell ref="D62:D63"/>
    <mergeCell ref="E62:F62"/>
    <mergeCell ref="G62:H62"/>
    <mergeCell ref="I62:J62"/>
    <mergeCell ref="K62:K63"/>
    <mergeCell ref="G63:H63"/>
    <mergeCell ref="K51:K52"/>
    <mergeCell ref="L51:P51"/>
    <mergeCell ref="Q51:Q52"/>
    <mergeCell ref="R51:R52"/>
    <mergeCell ref="S51:S52"/>
    <mergeCell ref="T51:T52"/>
    <mergeCell ref="N44:P44"/>
    <mergeCell ref="N45:P45"/>
    <mergeCell ref="A46:C46"/>
    <mergeCell ref="D46:P46"/>
    <mergeCell ref="A51:C52"/>
    <mergeCell ref="D51:D52"/>
    <mergeCell ref="E51:F51"/>
    <mergeCell ref="G51:G52"/>
    <mergeCell ref="H51:H52"/>
    <mergeCell ref="I51:J51"/>
    <mergeCell ref="I11:I12"/>
    <mergeCell ref="J11:J12"/>
    <mergeCell ref="K11:K12"/>
    <mergeCell ref="L11:L12"/>
    <mergeCell ref="M11:M12"/>
    <mergeCell ref="N13:P13"/>
    <mergeCell ref="A8:T8"/>
    <mergeCell ref="A10:F10"/>
    <mergeCell ref="G10:K10"/>
    <mergeCell ref="L10:M10"/>
    <mergeCell ref="N10:P12"/>
    <mergeCell ref="A11:B12"/>
    <mergeCell ref="C11:D12"/>
    <mergeCell ref="E11:F12"/>
    <mergeCell ref="G11:G12"/>
    <mergeCell ref="H11:H12"/>
    <mergeCell ref="A5:C5"/>
    <mergeCell ref="D5:E5"/>
    <mergeCell ref="F5:G5"/>
    <mergeCell ref="H5:I5"/>
    <mergeCell ref="A6:C6"/>
    <mergeCell ref="D6:E6"/>
    <mergeCell ref="F6:G6"/>
    <mergeCell ref="H6:I6"/>
    <mergeCell ref="A3:C3"/>
    <mergeCell ref="D3:E3"/>
    <mergeCell ref="F3:G3"/>
    <mergeCell ref="H3:I3"/>
    <mergeCell ref="A4:C4"/>
    <mergeCell ref="D4:E4"/>
    <mergeCell ref="F4:G4"/>
    <mergeCell ref="H4:I4"/>
    <mergeCell ref="A1:C1"/>
    <mergeCell ref="D1:E1"/>
    <mergeCell ref="F1:G1"/>
    <mergeCell ref="H1:I1"/>
    <mergeCell ref="A2:C2"/>
    <mergeCell ref="D2:E2"/>
    <mergeCell ref="F2:G2"/>
    <mergeCell ref="H2:I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F76"/>
  <sheetViews>
    <sheetView topLeftCell="A31" workbookViewId="0">
      <selection activeCell="A74" sqref="A74:D76"/>
    </sheetView>
  </sheetViews>
  <sheetFormatPr baseColWidth="10" defaultRowHeight="14.4"/>
  <cols>
    <col min="1" max="1" width="26.109375" customWidth="1"/>
    <col min="2" max="2" width="21.88671875" customWidth="1"/>
    <col min="3" max="6" width="23.44140625" customWidth="1"/>
  </cols>
  <sheetData>
    <row r="1" spans="1:6" ht="25.2" thickBot="1">
      <c r="A1" s="221" t="s">
        <v>41</v>
      </c>
      <c r="B1" s="222"/>
      <c r="C1" s="222"/>
      <c r="D1" s="222"/>
      <c r="E1" s="222"/>
      <c r="F1" s="223"/>
    </row>
    <row r="3" spans="1:6" ht="15" thickBot="1">
      <c r="A3" s="38"/>
      <c r="B3" s="38"/>
      <c r="C3" s="38"/>
      <c r="D3" s="38"/>
      <c r="E3" s="38"/>
      <c r="F3" s="38"/>
    </row>
    <row r="4" spans="1:6" ht="21.6" thickBot="1">
      <c r="A4" s="38"/>
      <c r="B4" s="38"/>
      <c r="C4" s="224" t="s">
        <v>42</v>
      </c>
      <c r="D4" s="225"/>
      <c r="E4" s="225"/>
      <c r="F4" s="226"/>
    </row>
    <row r="5" spans="1:6" ht="15" thickBot="1">
      <c r="A5" s="38"/>
      <c r="B5" s="38"/>
      <c r="C5" s="39"/>
      <c r="D5" s="39"/>
      <c r="E5" s="39"/>
      <c r="F5" s="39"/>
    </row>
    <row r="6" spans="1:6" ht="18.899999999999999" customHeight="1">
      <c r="A6" s="199" t="s">
        <v>10</v>
      </c>
      <c r="B6" s="200"/>
      <c r="C6" s="258" t="s">
        <v>9</v>
      </c>
      <c r="D6" s="258"/>
      <c r="E6" s="258"/>
      <c r="F6" s="259"/>
    </row>
    <row r="7" spans="1:6" ht="17.399999999999999" customHeight="1">
      <c r="A7" s="201"/>
      <c r="B7" s="202"/>
      <c r="C7" s="260" t="s">
        <v>1</v>
      </c>
      <c r="D7" s="260"/>
      <c r="E7" s="260"/>
      <c r="F7" s="261"/>
    </row>
    <row r="8" spans="1:6" ht="21.6" customHeight="1" thickBot="1">
      <c r="A8" s="203"/>
      <c r="B8" s="204"/>
      <c r="C8" s="262" t="s">
        <v>2</v>
      </c>
      <c r="D8" s="262"/>
      <c r="E8" s="262"/>
      <c r="F8" s="263"/>
    </row>
    <row r="9" spans="1:6" ht="15" thickBot="1">
      <c r="A9" s="38"/>
      <c r="B9" s="38"/>
      <c r="C9" s="50"/>
      <c r="D9" s="50"/>
      <c r="E9" s="50"/>
      <c r="F9" s="50"/>
    </row>
    <row r="10" spans="1:6" ht="31.2">
      <c r="A10" s="233" t="s">
        <v>11</v>
      </c>
      <c r="B10" s="51" t="s">
        <v>3</v>
      </c>
      <c r="C10" s="264" t="s">
        <v>3</v>
      </c>
      <c r="D10" s="264"/>
      <c r="E10" s="264"/>
      <c r="F10" s="265"/>
    </row>
    <row r="11" spans="1:6" ht="27.6">
      <c r="A11" s="234"/>
      <c r="B11" s="44" t="s">
        <v>65</v>
      </c>
      <c r="C11" s="242" t="s">
        <v>66</v>
      </c>
      <c r="D11" s="243"/>
      <c r="E11" s="243"/>
      <c r="F11" s="244"/>
    </row>
    <row r="12" spans="1:6" ht="30.6" customHeight="1">
      <c r="A12" s="234"/>
      <c r="B12" s="45" t="s">
        <v>5</v>
      </c>
      <c r="C12" s="252" t="s">
        <v>69</v>
      </c>
      <c r="D12" s="245"/>
      <c r="E12" s="245"/>
      <c r="F12" s="246"/>
    </row>
    <row r="13" spans="1:6" ht="38.4" customHeight="1">
      <c r="A13" s="234"/>
      <c r="B13" s="46" t="s">
        <v>4</v>
      </c>
      <c r="C13" s="245" t="s">
        <v>47</v>
      </c>
      <c r="D13" s="245"/>
      <c r="E13" s="245"/>
      <c r="F13" s="246"/>
    </row>
    <row r="14" spans="1:6" ht="51" customHeight="1" thickBot="1">
      <c r="A14" s="235"/>
      <c r="B14" s="52" t="s">
        <v>8</v>
      </c>
      <c r="C14" s="190" t="s">
        <v>70</v>
      </c>
      <c r="D14" s="191"/>
      <c r="E14" s="191"/>
      <c r="F14" s="192"/>
    </row>
    <row r="15" spans="1:6" ht="15" thickBot="1">
      <c r="A15" s="38"/>
      <c r="B15" s="38"/>
      <c r="C15" s="50"/>
      <c r="D15" s="50"/>
      <c r="E15" s="50"/>
      <c r="F15" s="50"/>
    </row>
    <row r="16" spans="1:6" ht="33" customHeight="1">
      <c r="A16" s="236" t="s">
        <v>12</v>
      </c>
      <c r="B16" s="53" t="s">
        <v>86</v>
      </c>
      <c r="C16" s="198" t="s">
        <v>87</v>
      </c>
      <c r="D16" s="196"/>
      <c r="E16" s="196"/>
      <c r="F16" s="197"/>
    </row>
    <row r="17" spans="1:6" ht="36.6" customHeight="1" thickBot="1">
      <c r="A17" s="237"/>
      <c r="B17" s="54" t="s">
        <v>6</v>
      </c>
      <c r="C17" s="190" t="s">
        <v>71</v>
      </c>
      <c r="D17" s="191"/>
      <c r="E17" s="191"/>
      <c r="F17" s="192"/>
    </row>
    <row r="18" spans="1:6" ht="15" thickBot="1">
      <c r="A18" s="38"/>
      <c r="B18" s="38"/>
      <c r="C18" s="50"/>
      <c r="D18" s="50"/>
      <c r="E18" s="50"/>
      <c r="F18" s="50"/>
    </row>
    <row r="19" spans="1:6" ht="16.2" thickBot="1">
      <c r="A19" s="238" t="s">
        <v>7</v>
      </c>
      <c r="B19" s="239"/>
      <c r="C19" s="50"/>
      <c r="D19" s="50"/>
      <c r="E19" s="50"/>
      <c r="F19" s="50"/>
    </row>
    <row r="20" spans="1:6" ht="15" thickBot="1">
      <c r="A20" s="38"/>
      <c r="B20" s="38"/>
      <c r="C20" s="50"/>
      <c r="D20" s="50"/>
      <c r="E20" s="50"/>
      <c r="F20" s="50"/>
    </row>
    <row r="21" spans="1:6" ht="15.6" thickBot="1">
      <c r="A21" s="59"/>
      <c r="B21" s="60"/>
      <c r="C21" s="61"/>
      <c r="D21" s="61"/>
      <c r="E21" s="61"/>
      <c r="F21" s="62"/>
    </row>
    <row r="22" spans="1:6" ht="15" thickBot="1">
      <c r="A22" s="38"/>
      <c r="B22" s="38"/>
      <c r="C22" s="50"/>
      <c r="D22" s="50"/>
      <c r="E22" s="50"/>
      <c r="F22" s="50"/>
    </row>
    <row r="23" spans="1:6">
      <c r="A23" s="231" t="s">
        <v>13</v>
      </c>
      <c r="B23" s="40" t="s">
        <v>32</v>
      </c>
      <c r="C23" s="50"/>
      <c r="D23" s="50"/>
      <c r="E23" s="50"/>
      <c r="F23" s="50"/>
    </row>
    <row r="24" spans="1:6" ht="15" thickBot="1">
      <c r="A24" s="232"/>
      <c r="B24" s="41" t="s">
        <v>33</v>
      </c>
      <c r="C24" s="50"/>
      <c r="D24" s="50"/>
      <c r="E24" s="50"/>
      <c r="F24" s="50"/>
    </row>
    <row r="25" spans="1:6" ht="15" thickBot="1">
      <c r="A25" s="38"/>
      <c r="B25" s="38"/>
      <c r="C25" s="50"/>
      <c r="D25" s="50"/>
      <c r="E25" s="50"/>
      <c r="F25" s="50"/>
    </row>
    <row r="26" spans="1:6" ht="42" customHeight="1" thickBot="1">
      <c r="A26" s="209" t="s">
        <v>35</v>
      </c>
      <c r="B26" s="210"/>
      <c r="C26" s="193" t="s">
        <v>72</v>
      </c>
      <c r="D26" s="194"/>
      <c r="E26" s="194"/>
      <c r="F26" s="195"/>
    </row>
    <row r="27" spans="1:6" ht="15" thickBot="1">
      <c r="A27" s="38"/>
      <c r="B27" s="38"/>
      <c r="C27" s="50"/>
      <c r="D27" s="50"/>
      <c r="E27" s="50"/>
      <c r="F27" s="50"/>
    </row>
    <row r="28" spans="1:6" ht="27.6" customHeight="1">
      <c r="A28" s="211" t="s">
        <v>36</v>
      </c>
      <c r="B28" s="55" t="s">
        <v>46</v>
      </c>
      <c r="C28" s="196" t="s">
        <v>48</v>
      </c>
      <c r="D28" s="196"/>
      <c r="E28" s="196"/>
      <c r="F28" s="197"/>
    </row>
    <row r="29" spans="1:6" ht="27" customHeight="1" thickBot="1">
      <c r="A29" s="212"/>
      <c r="B29" s="56" t="s">
        <v>14</v>
      </c>
      <c r="C29" s="191" t="s">
        <v>49</v>
      </c>
      <c r="D29" s="191"/>
      <c r="E29" s="191"/>
      <c r="F29" s="192"/>
    </row>
    <row r="30" spans="1:6" ht="15" thickBot="1">
      <c r="A30" s="38"/>
      <c r="B30" s="38"/>
      <c r="C30" s="50"/>
      <c r="D30" s="50"/>
      <c r="E30" s="50"/>
      <c r="F30" s="50"/>
    </row>
    <row r="31" spans="1:6" ht="45" customHeight="1">
      <c r="A31" s="219" t="s">
        <v>88</v>
      </c>
      <c r="B31" s="220"/>
      <c r="C31" s="198" t="s">
        <v>89</v>
      </c>
      <c r="D31" s="196"/>
      <c r="E31" s="196"/>
      <c r="F31" s="197"/>
    </row>
    <row r="32" spans="1:6" ht="57" customHeight="1" thickBot="1">
      <c r="A32" s="247" t="s">
        <v>15</v>
      </c>
      <c r="B32" s="248"/>
      <c r="C32" s="190" t="s">
        <v>73</v>
      </c>
      <c r="D32" s="191"/>
      <c r="E32" s="191"/>
      <c r="F32" s="192"/>
    </row>
    <row r="33" spans="1:6" ht="15" thickBot="1">
      <c r="A33" s="38"/>
      <c r="B33" s="38"/>
      <c r="C33" s="50"/>
      <c r="D33" s="50"/>
      <c r="E33" s="50"/>
      <c r="F33" s="50"/>
    </row>
    <row r="34" spans="1:6">
      <c r="A34" s="217" t="s">
        <v>16</v>
      </c>
      <c r="B34" s="42" t="s">
        <v>22</v>
      </c>
      <c r="C34" s="50"/>
      <c r="D34" s="50"/>
      <c r="E34" s="50"/>
      <c r="F34" s="50"/>
    </row>
    <row r="35" spans="1:6" ht="15" thickBot="1">
      <c r="A35" s="218"/>
      <c r="B35" s="43" t="s">
        <v>34</v>
      </c>
      <c r="C35" s="50"/>
      <c r="D35" s="50"/>
      <c r="E35" s="50"/>
      <c r="F35" s="50"/>
    </row>
    <row r="36" spans="1:6" ht="15" thickBot="1">
      <c r="A36" s="38"/>
      <c r="B36" s="38"/>
      <c r="C36" s="50"/>
      <c r="D36" s="50"/>
      <c r="E36" s="50"/>
      <c r="F36" s="50"/>
    </row>
    <row r="37" spans="1:6" ht="57.75" customHeight="1" thickBot="1">
      <c r="A37" s="249" t="s">
        <v>17</v>
      </c>
      <c r="B37" s="250"/>
      <c r="C37" s="193" t="s">
        <v>74</v>
      </c>
      <c r="D37" s="194"/>
      <c r="E37" s="194"/>
      <c r="F37" s="195"/>
    </row>
    <row r="38" spans="1:6" ht="15" thickBot="1">
      <c r="A38" s="38"/>
      <c r="B38" s="38"/>
      <c r="C38" s="50"/>
      <c r="D38" s="50"/>
      <c r="E38" s="50"/>
      <c r="F38" s="50"/>
    </row>
    <row r="39" spans="1:6" ht="21.9" customHeight="1">
      <c r="A39" s="213" t="s">
        <v>18</v>
      </c>
      <c r="B39" s="57" t="s">
        <v>19</v>
      </c>
      <c r="C39" s="198" t="s">
        <v>50</v>
      </c>
      <c r="D39" s="198"/>
      <c r="E39" s="198"/>
      <c r="F39" s="251"/>
    </row>
    <row r="40" spans="1:6" ht="26.1" customHeight="1">
      <c r="A40" s="254"/>
      <c r="B40" s="48" t="s">
        <v>20</v>
      </c>
      <c r="C40" s="252" t="s">
        <v>51</v>
      </c>
      <c r="D40" s="252"/>
      <c r="E40" s="252"/>
      <c r="F40" s="253"/>
    </row>
    <row r="41" spans="1:6" ht="23.1" customHeight="1">
      <c r="A41" s="254"/>
      <c r="B41" s="47" t="s">
        <v>21</v>
      </c>
      <c r="C41" s="252" t="s">
        <v>52</v>
      </c>
      <c r="D41" s="252"/>
      <c r="E41" s="252"/>
      <c r="F41" s="253"/>
    </row>
    <row r="42" spans="1:6" ht="41.1" customHeight="1">
      <c r="A42" s="254"/>
      <c r="B42" s="48" t="s">
        <v>22</v>
      </c>
      <c r="C42" s="252" t="s">
        <v>75</v>
      </c>
      <c r="D42" s="252"/>
      <c r="E42" s="252"/>
      <c r="F42" s="253"/>
    </row>
    <row r="43" spans="1:6" ht="132.6" customHeight="1" thickBot="1">
      <c r="A43" s="214"/>
      <c r="B43" s="58" t="s">
        <v>23</v>
      </c>
      <c r="C43" s="190" t="s">
        <v>76</v>
      </c>
      <c r="D43" s="190"/>
      <c r="E43" s="190"/>
      <c r="F43" s="257"/>
    </row>
    <row r="44" spans="1:6" ht="15" thickBot="1">
      <c r="A44" s="38"/>
      <c r="B44" s="38"/>
      <c r="C44" s="50"/>
      <c r="D44" s="50"/>
      <c r="E44" s="50"/>
      <c r="F44" s="50"/>
    </row>
    <row r="45" spans="1:6" ht="158.4" customHeight="1" thickBot="1">
      <c r="A45" s="255" t="s">
        <v>44</v>
      </c>
      <c r="B45" s="256"/>
      <c r="C45" s="193" t="s">
        <v>85</v>
      </c>
      <c r="D45" s="194"/>
      <c r="E45" s="194"/>
      <c r="F45" s="195"/>
    </row>
    <row r="46" spans="1:6" ht="15" thickBot="1">
      <c r="A46" s="38"/>
      <c r="B46" s="38"/>
      <c r="C46" s="50"/>
      <c r="D46" s="50"/>
      <c r="E46" s="50"/>
      <c r="F46" s="50"/>
    </row>
    <row r="47" spans="1:6" ht="83.1" customHeight="1" thickBot="1">
      <c r="A47" s="215" t="s">
        <v>24</v>
      </c>
      <c r="B47" s="216"/>
      <c r="C47" s="193" t="s">
        <v>77</v>
      </c>
      <c r="D47" s="194"/>
      <c r="E47" s="194"/>
      <c r="F47" s="195"/>
    </row>
    <row r="48" spans="1:6" ht="15" thickBot="1">
      <c r="A48" s="38"/>
      <c r="B48" s="38"/>
      <c r="C48" s="50"/>
      <c r="D48" s="50"/>
      <c r="E48" s="50"/>
      <c r="F48" s="50"/>
    </row>
    <row r="49" spans="1:6" ht="45.9" customHeight="1" thickBot="1">
      <c r="A49" s="227" t="s">
        <v>25</v>
      </c>
      <c r="B49" s="228"/>
      <c r="C49" s="266" t="s">
        <v>78</v>
      </c>
      <c r="D49" s="194"/>
      <c r="E49" s="194"/>
      <c r="F49" s="195"/>
    </row>
    <row r="50" spans="1:6" ht="15" thickBot="1">
      <c r="A50" s="38"/>
      <c r="B50" s="38"/>
      <c r="C50" s="50"/>
      <c r="D50" s="50"/>
      <c r="E50" s="50"/>
      <c r="F50" s="50"/>
    </row>
    <row r="51" spans="1:6" ht="60" customHeight="1" thickBot="1">
      <c r="A51" s="229" t="s">
        <v>40</v>
      </c>
      <c r="B51" s="230"/>
      <c r="C51" s="193" t="s">
        <v>79</v>
      </c>
      <c r="D51" s="194"/>
      <c r="E51" s="194"/>
      <c r="F51" s="195"/>
    </row>
    <row r="52" spans="1:6" ht="15" thickBot="1">
      <c r="A52" s="39"/>
      <c r="B52" s="38"/>
      <c r="C52" s="50"/>
      <c r="D52" s="50"/>
      <c r="E52" s="50"/>
      <c r="F52" s="50"/>
    </row>
    <row r="53" spans="1:6" ht="85.5" customHeight="1" thickBot="1">
      <c r="A53" s="240" t="s">
        <v>45</v>
      </c>
      <c r="B53" s="241"/>
      <c r="C53" s="268" t="s">
        <v>84</v>
      </c>
      <c r="D53" s="269"/>
      <c r="E53" s="269"/>
      <c r="F53" s="270"/>
    </row>
    <row r="54" spans="1:6" ht="15" thickBot="1">
      <c r="A54" s="38"/>
      <c r="B54" s="38"/>
      <c r="C54" s="50"/>
      <c r="D54" s="50"/>
      <c r="E54" s="50"/>
      <c r="F54" s="50"/>
    </row>
    <row r="55" spans="1:6" ht="15.6" thickBot="1">
      <c r="A55" s="59"/>
      <c r="B55" s="60"/>
      <c r="C55" s="61"/>
      <c r="D55" s="61"/>
      <c r="E55" s="61"/>
      <c r="F55" s="62"/>
    </row>
    <row r="56" spans="1:6" ht="15" thickBot="1">
      <c r="A56" s="38"/>
      <c r="B56" s="38"/>
      <c r="C56" s="50"/>
      <c r="D56" s="50"/>
      <c r="E56" s="50"/>
      <c r="F56" s="50"/>
    </row>
    <row r="57" spans="1:6">
      <c r="A57" s="231" t="s">
        <v>26</v>
      </c>
      <c r="B57" s="40" t="s">
        <v>32</v>
      </c>
      <c r="C57" s="50"/>
      <c r="D57" s="50"/>
      <c r="E57" s="50"/>
      <c r="F57" s="50"/>
    </row>
    <row r="58" spans="1:6" ht="15" thickBot="1">
      <c r="A58" s="232"/>
      <c r="B58" s="41" t="s">
        <v>33</v>
      </c>
      <c r="C58" s="50"/>
      <c r="D58" s="50"/>
      <c r="E58" s="50"/>
      <c r="F58" s="50"/>
    </row>
    <row r="59" spans="1:6" ht="15" thickBot="1">
      <c r="A59" s="38"/>
      <c r="B59" s="38"/>
      <c r="C59" s="50"/>
      <c r="D59" s="50"/>
      <c r="E59" s="50"/>
      <c r="F59" s="50"/>
    </row>
    <row r="60" spans="1:6" ht="40.5" customHeight="1" thickBot="1">
      <c r="A60" s="209" t="s">
        <v>27</v>
      </c>
      <c r="B60" s="210"/>
      <c r="C60" s="193" t="s">
        <v>80</v>
      </c>
      <c r="D60" s="194"/>
      <c r="E60" s="194"/>
      <c r="F60" s="195"/>
    </row>
    <row r="61" spans="1:6" ht="15" thickBot="1">
      <c r="A61" s="38"/>
      <c r="B61" s="38"/>
      <c r="C61" s="50"/>
      <c r="D61" s="50"/>
      <c r="E61" s="50"/>
      <c r="F61" s="50"/>
    </row>
    <row r="62" spans="1:6" ht="24" customHeight="1">
      <c r="A62" s="211" t="s">
        <v>36</v>
      </c>
      <c r="B62" s="55" t="s">
        <v>46</v>
      </c>
      <c r="C62" s="196" t="s">
        <v>48</v>
      </c>
      <c r="D62" s="196"/>
      <c r="E62" s="196"/>
      <c r="F62" s="197"/>
    </row>
    <row r="63" spans="1:6" ht="21.9" customHeight="1" thickBot="1">
      <c r="A63" s="212"/>
      <c r="B63" s="56" t="s">
        <v>14</v>
      </c>
      <c r="C63" s="191" t="s">
        <v>49</v>
      </c>
      <c r="D63" s="191"/>
      <c r="E63" s="191"/>
      <c r="F63" s="192"/>
    </row>
    <row r="64" spans="1:6" ht="15" thickBot="1">
      <c r="A64" s="38"/>
      <c r="B64" s="38"/>
      <c r="C64" s="50"/>
      <c r="D64" s="50"/>
      <c r="E64" s="50"/>
      <c r="F64" s="50"/>
    </row>
    <row r="65" spans="1:6" ht="41.4" customHeight="1">
      <c r="A65" s="213" t="s">
        <v>37</v>
      </c>
      <c r="B65" s="57" t="s">
        <v>38</v>
      </c>
      <c r="C65" s="198" t="s">
        <v>53</v>
      </c>
      <c r="D65" s="198"/>
      <c r="E65" s="198"/>
      <c r="F65" s="251"/>
    </row>
    <row r="66" spans="1:6" ht="27" customHeight="1" thickBot="1">
      <c r="A66" s="214"/>
      <c r="B66" s="64" t="s">
        <v>39</v>
      </c>
      <c r="C66" s="190" t="s">
        <v>54</v>
      </c>
      <c r="D66" s="190"/>
      <c r="E66" s="190"/>
      <c r="F66" s="257"/>
    </row>
    <row r="67" spans="1:6" ht="15" thickBot="1">
      <c r="A67" s="38"/>
      <c r="B67" s="38"/>
      <c r="C67" s="50"/>
      <c r="D67" s="50"/>
      <c r="E67" s="50"/>
      <c r="F67" s="50"/>
    </row>
    <row r="68" spans="1:6" ht="59.4" customHeight="1">
      <c r="A68" s="207" t="s">
        <v>28</v>
      </c>
      <c r="B68" s="63" t="s">
        <v>29</v>
      </c>
      <c r="C68" s="198" t="s">
        <v>81</v>
      </c>
      <c r="D68" s="198"/>
      <c r="E68" s="198"/>
      <c r="F68" s="251"/>
    </row>
    <row r="69" spans="1:6" ht="62.1" customHeight="1">
      <c r="A69" s="208"/>
      <c r="B69" s="49" t="s">
        <v>30</v>
      </c>
      <c r="C69" s="252" t="s">
        <v>82</v>
      </c>
      <c r="D69" s="252"/>
      <c r="E69" s="252"/>
      <c r="F69" s="253"/>
    </row>
    <row r="70" spans="1:6" ht="30.9" customHeight="1" thickBot="1">
      <c r="A70" s="205" t="s">
        <v>31</v>
      </c>
      <c r="B70" s="206"/>
      <c r="C70" s="190" t="s">
        <v>83</v>
      </c>
      <c r="D70" s="190"/>
      <c r="E70" s="190"/>
      <c r="F70" s="257"/>
    </row>
    <row r="72" spans="1:6" ht="15" thickBot="1">
      <c r="A72" s="38"/>
      <c r="B72" s="38"/>
      <c r="C72" s="38"/>
      <c r="D72" s="38"/>
      <c r="E72" s="38"/>
      <c r="F72" s="38"/>
    </row>
    <row r="73" spans="1:6">
      <c r="A73" s="271" t="s">
        <v>67</v>
      </c>
      <c r="B73" s="272"/>
      <c r="C73" s="272"/>
      <c r="D73" s="273"/>
      <c r="E73" s="38"/>
      <c r="F73" s="38"/>
    </row>
    <row r="74" spans="1:6">
      <c r="A74" s="65" t="s">
        <v>97</v>
      </c>
      <c r="B74" s="267" t="s">
        <v>100</v>
      </c>
      <c r="C74" s="267"/>
      <c r="D74" s="267"/>
    </row>
    <row r="75" spans="1:6">
      <c r="A75" s="65" t="s">
        <v>98</v>
      </c>
      <c r="B75" s="267" t="s">
        <v>101</v>
      </c>
      <c r="C75" s="267"/>
      <c r="D75" s="267"/>
    </row>
    <row r="76" spans="1:6" ht="30" customHeight="1">
      <c r="A76" s="65" t="s">
        <v>99</v>
      </c>
      <c r="B76" s="267" t="s">
        <v>101</v>
      </c>
      <c r="C76" s="267"/>
      <c r="D76" s="267"/>
    </row>
  </sheetData>
  <mergeCells count="63">
    <mergeCell ref="B74:D74"/>
    <mergeCell ref="B75:D75"/>
    <mergeCell ref="B76:D76"/>
    <mergeCell ref="C70:F70"/>
    <mergeCell ref="C53:F53"/>
    <mergeCell ref="C60:F60"/>
    <mergeCell ref="C62:F62"/>
    <mergeCell ref="C63:F63"/>
    <mergeCell ref="C65:F65"/>
    <mergeCell ref="A73:D73"/>
    <mergeCell ref="C49:F49"/>
    <mergeCell ref="C51:F51"/>
    <mergeCell ref="C66:F66"/>
    <mergeCell ref="C68:F68"/>
    <mergeCell ref="C69:F69"/>
    <mergeCell ref="C6:F6"/>
    <mergeCell ref="C7:F7"/>
    <mergeCell ref="C8:F8"/>
    <mergeCell ref="C12:F12"/>
    <mergeCell ref="C10:F10"/>
    <mergeCell ref="C47:F47"/>
    <mergeCell ref="A32:B32"/>
    <mergeCell ref="A37:B37"/>
    <mergeCell ref="C37:F37"/>
    <mergeCell ref="C39:F39"/>
    <mergeCell ref="C40:F40"/>
    <mergeCell ref="A39:A43"/>
    <mergeCell ref="A45:B45"/>
    <mergeCell ref="C41:F41"/>
    <mergeCell ref="C42:F42"/>
    <mergeCell ref="C43:F43"/>
    <mergeCell ref="C45:F45"/>
    <mergeCell ref="C32:F32"/>
    <mergeCell ref="A1:F1"/>
    <mergeCell ref="C4:F4"/>
    <mergeCell ref="A49:B49"/>
    <mergeCell ref="A51:B51"/>
    <mergeCell ref="A57:A58"/>
    <mergeCell ref="A10:A14"/>
    <mergeCell ref="A16:A17"/>
    <mergeCell ref="A19:B19"/>
    <mergeCell ref="A23:A24"/>
    <mergeCell ref="A26:B26"/>
    <mergeCell ref="A28:A29"/>
    <mergeCell ref="A53:B53"/>
    <mergeCell ref="C11:F11"/>
    <mergeCell ref="C13:F13"/>
    <mergeCell ref="C14:F14"/>
    <mergeCell ref="C16:F16"/>
    <mergeCell ref="A6:B8"/>
    <mergeCell ref="A70:B70"/>
    <mergeCell ref="A68:A69"/>
    <mergeCell ref="A60:B60"/>
    <mergeCell ref="A62:A63"/>
    <mergeCell ref="A65:A66"/>
    <mergeCell ref="A47:B47"/>
    <mergeCell ref="A34:A35"/>
    <mergeCell ref="A31:B31"/>
    <mergeCell ref="C17:F17"/>
    <mergeCell ref="C26:F26"/>
    <mergeCell ref="C28:F28"/>
    <mergeCell ref="C29:F29"/>
    <mergeCell ref="C31:F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Décomptes</vt:lpstr>
      <vt:lpstr>Lexique</vt:lpstr>
    </vt:vector>
  </TitlesOfParts>
  <Company>RATP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PIJOURLET Pascal</dc:creator>
  <cp:lastModifiedBy>PIJOURLET Pascal</cp:lastModifiedBy>
  <dcterms:created xsi:type="dcterms:W3CDTF">2019-06-07T13:59:03Z</dcterms:created>
  <dcterms:modified xsi:type="dcterms:W3CDTF">2025-03-11T14:13:25Z</dcterms:modified>
</cp:coreProperties>
</file>